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ksh\AppData\Local\Temp\tdcf_edit\"/>
    </mc:Choice>
  </mc:AlternateContent>
  <xr:revisionPtr revIDLastSave="0" documentId="13_ncr:1_{77924BB4-FA26-4CBB-9156-FCD170454BA2}" xr6:coauthVersionLast="47" xr6:coauthVersionMax="47" xr10:uidLastSave="{00000000-0000-0000-0000-000000000000}"/>
  <bookViews>
    <workbookView xWindow="-98" yWindow="-98" windowWidth="19396" windowHeight="10276" xr2:uid="{2C5E61F9-C5A3-4B70-8566-2B3C293FBA96}"/>
  </bookViews>
  <sheets>
    <sheet name="DCF" sheetId="1" r:id="rId1"/>
    <sheet name="Data" sheetId="2" r:id="rId2"/>
  </sheets>
  <definedNames>
    <definedName name="ConstGrowth">DCF!$C$28</definedName>
    <definedName name="DiscountRate">DCF!$C$31</definedName>
    <definedName name="ExitMultiple">DCF!$C$32</definedName>
    <definedName name="GrowthMode">DCF!$C$27</definedName>
    <definedName name="MarginEnd">DCF!$C$30</definedName>
    <definedName name="MarginStart">DCF!$C$29</definedName>
    <definedName name="NetAdj">DCF!$C$33</definedName>
    <definedName name="Price">DCF!$C$25</definedName>
    <definedName name="PriceDate">DCF!$C$34</definedName>
    <definedName name="_xlnm.Print_Area" localSheetId="0">DCF!$A$1:$AD$90</definedName>
    <definedName name="Shares">DCF!$C$26</definedName>
    <definedName name="StubFraction">DCF!$C$35</definedName>
    <definedName name="ValuePerShare">DCF!$C$66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4" i="1" l="1"/>
  <c r="C35" i="1" s="1"/>
  <c r="C13" i="1"/>
  <c r="C12" i="1"/>
  <c r="C7" i="1"/>
  <c r="C103" i="1"/>
  <c r="AC98" i="1"/>
  <c r="AB100" i="1"/>
  <c r="AB99" i="1"/>
  <c r="AB98" i="1"/>
  <c r="AA100" i="1"/>
  <c r="AA99" i="1"/>
  <c r="AA98" i="1"/>
  <c r="Z100" i="1"/>
  <c r="Z99" i="1"/>
  <c r="Z98" i="1"/>
  <c r="Y100" i="1"/>
  <c r="Y99" i="1"/>
  <c r="Y98" i="1"/>
  <c r="X100" i="1"/>
  <c r="X99" i="1"/>
  <c r="X98" i="1"/>
  <c r="W100" i="1"/>
  <c r="W99" i="1"/>
  <c r="W98" i="1"/>
  <c r="V100" i="1"/>
  <c r="V99" i="1"/>
  <c r="V98" i="1"/>
  <c r="U98" i="1"/>
  <c r="T100" i="1"/>
  <c r="T99" i="1"/>
  <c r="T98" i="1"/>
  <c r="S100" i="1"/>
  <c r="S99" i="1"/>
  <c r="S98" i="1"/>
  <c r="R100" i="1"/>
  <c r="R99" i="1"/>
  <c r="R98" i="1"/>
  <c r="Q100" i="1"/>
  <c r="Q99" i="1"/>
  <c r="Q98" i="1"/>
  <c r="P100" i="1"/>
  <c r="P99" i="1"/>
  <c r="P98" i="1"/>
  <c r="O100" i="1"/>
  <c r="O99" i="1"/>
  <c r="O98" i="1"/>
  <c r="N100" i="1"/>
  <c r="N99" i="1"/>
  <c r="N98" i="1"/>
  <c r="M98" i="1"/>
  <c r="L100" i="1"/>
  <c r="L99" i="1"/>
  <c r="L98" i="1"/>
  <c r="K100" i="1"/>
  <c r="K99" i="1"/>
  <c r="K98" i="1"/>
  <c r="J100" i="1"/>
  <c r="J99" i="1"/>
  <c r="J98" i="1"/>
  <c r="I100" i="1"/>
  <c r="I99" i="1"/>
  <c r="I98" i="1"/>
  <c r="H100" i="1"/>
  <c r="H99" i="1"/>
  <c r="H98" i="1"/>
  <c r="G100" i="1"/>
  <c r="G99" i="1"/>
  <c r="G98" i="1"/>
  <c r="F100" i="1"/>
  <c r="F99" i="1"/>
  <c r="F98" i="1"/>
  <c r="E100" i="1"/>
  <c r="E99" i="1"/>
  <c r="E98" i="1"/>
  <c r="D100" i="1"/>
  <c r="D99" i="1"/>
  <c r="D98" i="1"/>
  <c r="C94" i="1"/>
  <c r="C89" i="1"/>
  <c r="C96" i="1" s="1"/>
  <c r="C81" i="1"/>
  <c r="C88" i="1"/>
  <c r="C95" i="1" s="1"/>
  <c r="C80" i="1"/>
  <c r="C87" i="1"/>
  <c r="B94" i="1" s="1"/>
  <c r="C79" i="1"/>
  <c r="C86" i="1"/>
  <c r="C93" i="1" s="1"/>
  <c r="C78" i="1"/>
  <c r="C85" i="1"/>
  <c r="C92" i="1" s="1"/>
  <c r="C77" i="1"/>
  <c r="H84" i="1"/>
  <c r="H76" i="1"/>
  <c r="G84" i="1"/>
  <c r="G76" i="1"/>
  <c r="F84" i="1"/>
  <c r="F76" i="1"/>
  <c r="E84" i="1"/>
  <c r="E76" i="1"/>
  <c r="D84" i="1"/>
  <c r="D76" i="1"/>
  <c r="C67" i="1"/>
  <c r="C65" i="1"/>
  <c r="C63" i="1"/>
  <c r="C59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O40" i="1"/>
  <c r="P40" i="1" s="1"/>
  <c r="N42" i="1"/>
  <c r="M46" i="1"/>
  <c r="M41" i="1"/>
  <c r="L46" i="1"/>
  <c r="L41" i="1"/>
  <c r="K46" i="1"/>
  <c r="K41" i="1"/>
  <c r="J46" i="1"/>
  <c r="J41" i="1"/>
  <c r="I46" i="1"/>
  <c r="I41" i="1"/>
  <c r="H46" i="1"/>
  <c r="H41" i="1"/>
  <c r="G46" i="1"/>
  <c r="H47" i="1" s="1"/>
  <c r="G41" i="1"/>
  <c r="F46" i="1"/>
  <c r="F41" i="1"/>
  <c r="E46" i="1"/>
  <c r="E41" i="1"/>
  <c r="D46" i="1"/>
  <c r="D41" i="1"/>
  <c r="E42" i="1" s="1"/>
  <c r="E22" i="2"/>
  <c r="E21" i="2"/>
  <c r="G16" i="2"/>
  <c r="F16" i="2"/>
  <c r="E16" i="2"/>
  <c r="G15" i="2"/>
  <c r="F15" i="2"/>
  <c r="E15" i="2"/>
  <c r="G14" i="2"/>
  <c r="F14" i="2"/>
  <c r="E14" i="2"/>
  <c r="G13" i="2"/>
  <c r="F13" i="2"/>
  <c r="E13" i="2"/>
  <c r="G12" i="2"/>
  <c r="F12" i="2"/>
  <c r="E12" i="2"/>
  <c r="G11" i="2"/>
  <c r="F11" i="2"/>
  <c r="E11" i="2"/>
  <c r="G10" i="2"/>
  <c r="F10" i="2"/>
  <c r="E10" i="2"/>
  <c r="G9" i="2"/>
  <c r="F9" i="2"/>
  <c r="E9" i="2"/>
  <c r="G8" i="2"/>
  <c r="F8" i="2"/>
  <c r="E8" i="2"/>
  <c r="E7" i="2"/>
  <c r="K44" i="1" l="1"/>
  <c r="L47" i="1"/>
  <c r="G42" i="1"/>
  <c r="B95" i="1"/>
  <c r="E44" i="1"/>
  <c r="H42" i="1"/>
  <c r="I42" i="1"/>
  <c r="N92" i="1"/>
  <c r="O92" i="1" s="1"/>
  <c r="P92" i="1" s="1"/>
  <c r="Q92" i="1" s="1"/>
  <c r="R92" i="1" s="1"/>
  <c r="S92" i="1" s="1"/>
  <c r="T92" i="1" s="1"/>
  <c r="U92" i="1" s="1"/>
  <c r="V92" i="1" s="1"/>
  <c r="W92" i="1" s="1"/>
  <c r="X92" i="1" s="1"/>
  <c r="Y92" i="1" s="1"/>
  <c r="Z92" i="1" s="1"/>
  <c r="AA92" i="1" s="1"/>
  <c r="AB92" i="1" s="1"/>
  <c r="AC92" i="1" s="1"/>
  <c r="G47" i="1"/>
  <c r="L44" i="1"/>
  <c r="H44" i="1"/>
  <c r="K42" i="1"/>
  <c r="N52" i="1"/>
  <c r="N53" i="1" s="1"/>
  <c r="L42" i="1"/>
  <c r="I44" i="1"/>
  <c r="O50" i="1"/>
  <c r="N93" i="1"/>
  <c r="O93" i="1" s="1"/>
  <c r="P93" i="1" s="1"/>
  <c r="Q93" i="1" s="1"/>
  <c r="R93" i="1" s="1"/>
  <c r="S93" i="1" s="1"/>
  <c r="T93" i="1" s="1"/>
  <c r="U93" i="1" s="1"/>
  <c r="V93" i="1" s="1"/>
  <c r="W93" i="1" s="1"/>
  <c r="X93" i="1" s="1"/>
  <c r="Y93" i="1" s="1"/>
  <c r="Z93" i="1" s="1"/>
  <c r="AA93" i="1" s="1"/>
  <c r="AB93" i="1" s="1"/>
  <c r="AC93" i="1" s="1"/>
  <c r="K47" i="1"/>
  <c r="E47" i="1"/>
  <c r="Q40" i="1"/>
  <c r="Q52" i="1" s="1"/>
  <c r="Q53" i="1" s="1"/>
  <c r="P50" i="1"/>
  <c r="M99" i="1"/>
  <c r="F44" i="1"/>
  <c r="M100" i="1"/>
  <c r="M44" i="1"/>
  <c r="O52" i="1"/>
  <c r="O53" i="1" s="1"/>
  <c r="N95" i="1"/>
  <c r="B96" i="1"/>
  <c r="F42" i="1"/>
  <c r="J44" i="1"/>
  <c r="M42" i="1"/>
  <c r="N96" i="1"/>
  <c r="O96" i="1" s="1"/>
  <c r="P96" i="1" s="1"/>
  <c r="Q96" i="1" s="1"/>
  <c r="R96" i="1" s="1"/>
  <c r="S96" i="1" s="1"/>
  <c r="T96" i="1" s="1"/>
  <c r="M47" i="1"/>
  <c r="J47" i="1"/>
  <c r="N41" i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I47" i="1"/>
  <c r="J42" i="1"/>
  <c r="D44" i="1"/>
  <c r="F47" i="1"/>
  <c r="N94" i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AA94" i="1" s="1"/>
  <c r="AB94" i="1" s="1"/>
  <c r="AC94" i="1" s="1"/>
  <c r="G44" i="1"/>
  <c r="P52" i="1"/>
  <c r="P53" i="1" s="1"/>
  <c r="B92" i="1"/>
  <c r="N50" i="1"/>
  <c r="B93" i="1"/>
  <c r="C104" i="1" l="1"/>
  <c r="AC99" i="1"/>
  <c r="U99" i="1"/>
  <c r="O95" i="1"/>
  <c r="P95" i="1" s="1"/>
  <c r="Q95" i="1" s="1"/>
  <c r="R95" i="1" s="1"/>
  <c r="S95" i="1" s="1"/>
  <c r="T95" i="1" s="1"/>
  <c r="U95" i="1" s="1"/>
  <c r="V95" i="1" s="1"/>
  <c r="W95" i="1" s="1"/>
  <c r="X95" i="1" s="1"/>
  <c r="Y95" i="1" s="1"/>
  <c r="Z95" i="1" s="1"/>
  <c r="AA95" i="1" s="1"/>
  <c r="AB95" i="1" s="1"/>
  <c r="AC95" i="1" s="1"/>
  <c r="U96" i="1"/>
  <c r="V96" i="1" s="1"/>
  <c r="W96" i="1" s="1"/>
  <c r="X96" i="1" s="1"/>
  <c r="Y96" i="1" s="1"/>
  <c r="Z96" i="1" s="1"/>
  <c r="AA96" i="1" s="1"/>
  <c r="AB96" i="1" s="1"/>
  <c r="AC96" i="1" s="1"/>
  <c r="Q50" i="1"/>
  <c r="R40" i="1"/>
  <c r="R50" i="1" l="1"/>
  <c r="S40" i="1"/>
  <c r="R52" i="1"/>
  <c r="R53" i="1" s="1"/>
  <c r="T40" i="1" l="1"/>
  <c r="S50" i="1"/>
  <c r="S52" i="1"/>
  <c r="S53" i="1" s="1"/>
  <c r="U40" i="1" l="1"/>
  <c r="T50" i="1"/>
  <c r="T52" i="1"/>
  <c r="T53" i="1" s="1"/>
  <c r="U50" i="1" l="1"/>
  <c r="V40" i="1"/>
  <c r="U52" i="1"/>
  <c r="U53" i="1" s="1"/>
  <c r="V50" i="1" l="1"/>
  <c r="W40" i="1"/>
  <c r="V52" i="1"/>
  <c r="V53" i="1" s="1"/>
  <c r="W50" i="1" l="1"/>
  <c r="X40" i="1"/>
  <c r="W52" i="1"/>
  <c r="W53" i="1" s="1"/>
  <c r="X50" i="1" l="1"/>
  <c r="X52" i="1"/>
  <c r="X53" i="1" s="1"/>
  <c r="Y40" i="1"/>
  <c r="Z40" i="1" l="1"/>
  <c r="Y50" i="1"/>
  <c r="Y52" i="1"/>
  <c r="Y53" i="1" s="1"/>
  <c r="Z50" i="1" l="1"/>
  <c r="AA40" i="1"/>
  <c r="Z52" i="1"/>
  <c r="Z53" i="1" s="1"/>
  <c r="AA50" i="1" l="1"/>
  <c r="AA52" i="1"/>
  <c r="AA53" i="1" s="1"/>
  <c r="AB40" i="1"/>
  <c r="AC40" i="1" l="1"/>
  <c r="AB45" i="1" s="1"/>
  <c r="AB44" i="1" s="1"/>
  <c r="AB46" i="1" s="1"/>
  <c r="AB50" i="1"/>
  <c r="AB52" i="1"/>
  <c r="AB53" i="1" s="1"/>
  <c r="AB51" i="1" l="1"/>
  <c r="AB54" i="1" s="1"/>
  <c r="N45" i="1"/>
  <c r="N44" i="1" s="1"/>
  <c r="N46" i="1" s="1"/>
  <c r="C8" i="1"/>
  <c r="AC45" i="1"/>
  <c r="AC44" i="1" s="1"/>
  <c r="AC46" i="1" s="1"/>
  <c r="AC50" i="1"/>
  <c r="P45" i="1"/>
  <c r="P44" i="1" s="1"/>
  <c r="P46" i="1" s="1"/>
  <c r="AC52" i="1"/>
  <c r="AC53" i="1" s="1"/>
  <c r="C61" i="1" s="1"/>
  <c r="O45" i="1"/>
  <c r="O44" i="1" s="1"/>
  <c r="O46" i="1" s="1"/>
  <c r="C6" i="1"/>
  <c r="Q45" i="1"/>
  <c r="Q44" i="1" s="1"/>
  <c r="Q46" i="1" s="1"/>
  <c r="R45" i="1"/>
  <c r="R44" i="1" s="1"/>
  <c r="R46" i="1" s="1"/>
  <c r="S45" i="1"/>
  <c r="S44" i="1" s="1"/>
  <c r="S46" i="1" s="1"/>
  <c r="T45" i="1"/>
  <c r="T44" i="1" s="1"/>
  <c r="T46" i="1" s="1"/>
  <c r="U45" i="1"/>
  <c r="U44" i="1" s="1"/>
  <c r="U46" i="1" s="1"/>
  <c r="V45" i="1"/>
  <c r="V44" i="1" s="1"/>
  <c r="V46" i="1" s="1"/>
  <c r="W45" i="1"/>
  <c r="W44" i="1" s="1"/>
  <c r="W46" i="1" s="1"/>
  <c r="X45" i="1"/>
  <c r="X44" i="1" s="1"/>
  <c r="X46" i="1" s="1"/>
  <c r="Y45" i="1"/>
  <c r="Y44" i="1" s="1"/>
  <c r="Y46" i="1" s="1"/>
  <c r="Z45" i="1"/>
  <c r="Z44" i="1" s="1"/>
  <c r="Z46" i="1" s="1"/>
  <c r="AA45" i="1"/>
  <c r="AA44" i="1" s="1"/>
  <c r="AA46" i="1" s="1"/>
  <c r="C101" i="1" l="1"/>
  <c r="V47" i="1"/>
  <c r="U51" i="1"/>
  <c r="U54" i="1" s="1"/>
  <c r="AB47" i="1"/>
  <c r="AA51" i="1"/>
  <c r="AA54" i="1" s="1"/>
  <c r="T47" i="1"/>
  <c r="S51" i="1"/>
  <c r="S54" i="1" s="1"/>
  <c r="R51" i="1"/>
  <c r="R54" i="1" s="1"/>
  <c r="S47" i="1"/>
  <c r="Z47" i="1"/>
  <c r="Y51" i="1"/>
  <c r="Y54" i="1" s="1"/>
  <c r="U47" i="1"/>
  <c r="T51" i="1"/>
  <c r="T54" i="1" s="1"/>
  <c r="R47" i="1"/>
  <c r="Q51" i="1"/>
  <c r="Q54" i="1" s="1"/>
  <c r="Q47" i="1"/>
  <c r="P51" i="1"/>
  <c r="P54" i="1" s="1"/>
  <c r="AA47" i="1"/>
  <c r="Z51" i="1"/>
  <c r="Z54" i="1" s="1"/>
  <c r="Y47" i="1"/>
  <c r="X51" i="1"/>
  <c r="X54" i="1" s="1"/>
  <c r="W47" i="1"/>
  <c r="V51" i="1"/>
  <c r="V54" i="1" s="1"/>
  <c r="P47" i="1"/>
  <c r="O51" i="1"/>
  <c r="O54" i="1" s="1"/>
  <c r="H87" i="1"/>
  <c r="H85" i="1"/>
  <c r="D85" i="1"/>
  <c r="F85" i="1"/>
  <c r="G87" i="1"/>
  <c r="G86" i="1"/>
  <c r="D86" i="1"/>
  <c r="E88" i="1"/>
  <c r="F87" i="1"/>
  <c r="G88" i="1"/>
  <c r="G89" i="1"/>
  <c r="E86" i="1"/>
  <c r="F89" i="1"/>
  <c r="D89" i="1"/>
  <c r="H89" i="1"/>
  <c r="H88" i="1"/>
  <c r="E89" i="1"/>
  <c r="E85" i="1"/>
  <c r="E87" i="1"/>
  <c r="G85" i="1"/>
  <c r="H86" i="1"/>
  <c r="F86" i="1"/>
  <c r="D88" i="1"/>
  <c r="F88" i="1"/>
  <c r="D87" i="1"/>
  <c r="C58" i="1"/>
  <c r="C60" i="1" s="1"/>
  <c r="C62" i="1" s="1"/>
  <c r="AC51" i="1"/>
  <c r="AC54" i="1" s="1"/>
  <c r="C105" i="1"/>
  <c r="C102" i="1"/>
  <c r="AC100" i="1"/>
  <c r="U100" i="1"/>
  <c r="N51" i="1"/>
  <c r="N47" i="1"/>
  <c r="O47" i="1"/>
  <c r="W51" i="1"/>
  <c r="W54" i="1" s="1"/>
  <c r="X47" i="1"/>
  <c r="AC47" i="1"/>
  <c r="H80" i="1" l="1"/>
  <c r="D79" i="1"/>
  <c r="H77" i="1"/>
  <c r="E77" i="1"/>
  <c r="G80" i="1"/>
  <c r="G77" i="1"/>
  <c r="G78" i="1"/>
  <c r="H81" i="1"/>
  <c r="F80" i="1"/>
  <c r="H78" i="1"/>
  <c r="F77" i="1"/>
  <c r="G81" i="1"/>
  <c r="E80" i="1"/>
  <c r="N54" i="1"/>
  <c r="C57" i="1" s="1"/>
  <c r="C64" i="1" s="1"/>
  <c r="F81" i="1"/>
  <c r="D80" i="1"/>
  <c r="F78" i="1"/>
  <c r="D77" i="1"/>
  <c r="E81" i="1"/>
  <c r="E78" i="1"/>
  <c r="H79" i="1"/>
  <c r="D81" i="1"/>
  <c r="G79" i="1"/>
  <c r="D78" i="1"/>
  <c r="F79" i="1"/>
  <c r="E79" i="1"/>
  <c r="C70" i="1" l="1"/>
  <c r="C66" i="1"/>
  <c r="B17" i="1" l="1"/>
  <c r="C68" i="1"/>
  <c r="B18" i="1" s="1"/>
  <c r="C69" i="1" l="1"/>
  <c r="C1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Daksh Chaudhary</author>
  </authors>
  <commentList>
    <comment ref="B43" authorId="0" shapeId="0" xr:uid="{C0AB9709-A016-4CD4-9A23-1ABB0146BEE3}">
      <text>
        <r>
          <rPr>
            <b/>
            <sz val="9"/>
            <color indexed="81"/>
            <rFont val="Tahoma"/>
            <family val="2"/>
          </rPr>
          <t>FY2027-FY2029: analyst estimates (FY2027 includes the reported Q1). FY2030-FY2042: S-curve fade g = 17.04% + (6.95% - 17.04%) x (3x^2 - 2x^3), x = (year - 2029)/13; this replaces the analysts' 7.22% FY2030 estimate. CAGR FY2026-FY2042 = 12.6%.</t>
        </r>
      </text>
    </comment>
    <comment ref="B45" authorId="0" shapeId="0" xr:uid="{AEACEFC3-4C24-457B-9119-5E4BBE11996B}">
      <text>
        <r>
          <rPr>
            <b/>
            <sz val="9"/>
            <color indexed="81"/>
            <rFont val="Tahoma"/>
            <family val="2"/>
          </rPr>
          <t>Weight = 3x^2 - 2x^3 with x = t/16. Margin = start + (end - start) x weight, so FY2042 margin = end value.</t>
        </r>
      </text>
    </comment>
  </commentList>
</comments>
</file>

<file path=xl/sharedStrings.xml><?xml version="1.0" encoding="utf-8"?>
<sst xmlns="http://schemas.openxmlformats.org/spreadsheetml/2006/main" count="196" uniqueCount="146">
  <si>
    <t>Titan Company Ltd (NSE: TITAN): source data &amp; notes</t>
  </si>
  <si>
    <t>Blue = hard-coded source data. ₹ crore; fiscal years end 31 March (2026 = Apr-2025 to Mar-2026).</t>
  </si>
  <si>
    <t>HISTORICAL FINANCIALS, CONSOLIDATED (₹ crore)</t>
  </si>
  <si>
    <t>Fiscal year</t>
  </si>
  <si>
    <t>Revenue</t>
  </si>
  <si>
    <t>Net income</t>
  </si>
  <si>
    <t>Net margin</t>
  </si>
  <si>
    <t>Revenue growth</t>
  </si>
  <si>
    <t>NI growth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</si>
  <si>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</si>
  <si>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</si>
  <si>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</si>
  <si>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</si>
  <si>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</si>
  <si>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</si>
  <si>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</si>
  <si>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</si>
  <si>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</si>
  <si>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</si>
  <si>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Source: company filings (consolidated), via Alpha Spread and Screener.in, retrieved 26-Sep-2026. Revenue = revenue from operations; net income = profit attributable to shareholders.</t>
  </si>
  <si>
    <t>LATEST REPORTED QUARTER (₹ crore)</t>
  </si>
  <si>
    <t>Quarter</t>
  </si>
  <si>
    <t>Q1 FY2027 (Apr–Jun 2026)</t>
  </si>
  <si>
    <t>Q1 FY2026 (Apr–Jun 2025)</t>
  </si>
  <si>
    <t>METHODOLOGY</t>
  </si>
  <si>
    <t>1. Net-income DCF: each year's net income is treated as the cash flow to equity. Equity value = PV of net income + PV of terminal value + net adjustments (none).</t>
  </si>
  <si>
    <t>3. Net margin: fades on an S-curve (weight 3x² – 2x³, x = t/16) from 6.71% to 6.63% by FY2042.</t>
  </si>
  <si>
    <t>5. Discount rate: 10.26% cost of equity. Explicit forecast: FY2028–FY2042 (15 years) plus the FY2027 stub.</t>
  </si>
  <si>
    <t>6. Terminal value: FY2042 net income × 26.52x exit P/E, discounted with the FY2042 factor.</t>
  </si>
  <si>
    <t>SOURCES</t>
  </si>
  <si>
    <t>Screener.in: Titan Company consolidated financials</t>
  </si>
  <si>
    <t>For education and analysis only; not investment advice.</t>
  </si>
  <si>
    <t>1   INPUTS &amp; ASSUMPTIONS</t>
  </si>
  <si>
    <t>Current share price (₹)</t>
  </si>
  <si>
    <t>Diluted shares outstanding (mn)</t>
  </si>
  <si>
    <t>Diluted share count (basic ≈ 887.8 mn)</t>
  </si>
  <si>
    <t>Revenue growth mode</t>
  </si>
  <si>
    <t>Base case (per year)</t>
  </si>
  <si>
    <t>Base case = per-year path in row 43; Constant CAGR = C28 in every year</t>
  </si>
  <si>
    <t>Constant revenue growth (CAGR mode only)</t>
  </si>
  <si>
    <t>Used only in Constant CAGR mode</t>
  </si>
  <si>
    <t>Net margin, start (fade anchor)</t>
  </si>
  <si>
    <t>Fades along an S-curve to the FY2042 margin</t>
  </si>
  <si>
    <t>Net margin, end (FY2042)</t>
  </si>
  <si>
    <t>Long-term net margin</t>
  </si>
  <si>
    <t>Discount rate (cost of equity)</t>
  </si>
  <si>
    <t>Required return on equity</t>
  </si>
  <si>
    <t>Exit multiple (P/E on FY2042 net income)</t>
  </si>
  <si>
    <t>Terminal P/E applied to FY2042 net income</t>
  </si>
  <si>
    <t>Net adjustments / equity bridge (₹ bn)</t>
  </si>
  <si>
    <t>Cash / debt adjustments (none applied)</t>
  </si>
  <si>
    <t>Share of FY2027 still ahead (stub)</t>
  </si>
  <si>
    <t>2   FORECAST  (₹ bn; fiscal years end 31 March)</t>
  </si>
  <si>
    <t>Unit</t>
  </si>
  <si>
    <t>Period</t>
  </si>
  <si>
    <t>Forecast year (t)</t>
  </si>
  <si>
    <t>Revenue growth, base case (input)</t>
  </si>
  <si>
    <t>% input</t>
  </si>
  <si>
    <t>%</t>
  </si>
  <si>
    <t>₹ bn</t>
  </si>
  <si>
    <t>Net income growth</t>
  </si>
  <si>
    <t>Margin fade weight (S-curve, 0 → 1)</t>
  </si>
  <si>
    <t>weight</t>
  </si>
  <si>
    <t>Actual</t>
  </si>
  <si>
    <t>2027</t>
  </si>
  <si>
    <t>Forecast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</si>
  <si>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</si>
  <si>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</si>
  <si>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</si>
  <si>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</si>
  <si>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</si>
  <si>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</si>
  <si>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</si>
  <si>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</si>
  <si>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</si>
  <si>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</si>
  <si>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</si>
  <si>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</si>
  <si>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</si>
  <si>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</si>
  <si>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</si>
  <si>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3   DISCOUNTING  (cash flow to equity = net income)</t>
  </si>
  <si>
    <t>Present value</t>
  </si>
  <si>
    <t>Discount factor = 1 / (1 + r)^period</t>
  </si>
  <si>
    <t>factor</t>
  </si>
  <si>
    <t>Discount period (years from valuation date)</t>
  </si>
  <si>
    <t>years</t>
  </si>
  <si>
    <t>Cash flow to equity (net income × share)</t>
  </si>
  <si>
    <t>Share of fiscal year counted</t>
  </si>
  <si>
    <t>share</t>
  </si>
  <si>
    <t>4   VALUATION</t>
  </si>
  <si>
    <t>PV of forecast cash flows (₹ bn)</t>
  </si>
  <si>
    <t>FY2042 net income (₹ bn)</t>
  </si>
  <si>
    <t>Exit multiple (P/E)</t>
  </si>
  <si>
    <t>Terminal value at FY2042 (₹ bn)</t>
  </si>
  <si>
    <t>Discount factor for FY2042</t>
  </si>
  <si>
    <t>PV of terminal value (₹ bn)</t>
  </si>
  <si>
    <t>Equity value (₹ bn)</t>
  </si>
  <si>
    <t>Diluted shares (mn)</t>
  </si>
  <si>
    <t>DCF value per share (₹)</t>
  </si>
  <si>
    <t>DCF value vs price: upside / (downside)</t>
  </si>
  <si>
    <t>Verdict</t>
  </si>
  <si>
    <t>Terminal value as % of equity value</t>
  </si>
  <si>
    <t>5   SENSITIVITY: DCF VALUE PER SHARE (₹)</t>
  </si>
  <si>
    <t>Discount rate (rows) × exit P/E (columns)</t>
  </si>
  <si>
    <t>Revenue growth shift vs current path, every year (rows) × FY2042 net margin (columns)</t>
  </si>
  <si>
    <t>Rate step</t>
  </si>
  <si>
    <t>P/E step</t>
  </si>
  <si>
    <t>Growth step</t>
  </si>
  <si>
    <t>Margin step</t>
  </si>
  <si>
    <t>r  \  P/E →</t>
  </si>
  <si>
    <t>Δ growth  \  margin →</t>
  </si>
  <si>
    <t>→ base case</t>
  </si>
  <si>
    <t>Workings for the sensitivity table and chart</t>
  </si>
  <si>
    <t>Chart: forecast shading (1 = forecast year)</t>
  </si>
  <si>
    <t>Chart: revenue CAGR guide line (₹ bn)</t>
  </si>
  <si>
    <t>Chart: net income CAGR guide line (₹ bn)</t>
  </si>
  <si>
    <t>Chart label: revenue CAGR</t>
  </si>
  <si>
    <t>Chart label: net income CAGR</t>
  </si>
  <si>
    <t>Chart title</t>
  </si>
  <si>
    <t>Chart legend: revenue</t>
  </si>
  <si>
    <t>Chart legend: net income</t>
  </si>
  <si>
    <t>Titan Company Ltd (NSE: TITAN): DCF Valuation</t>
  </si>
  <si>
    <t>Prepared by Daksh Chaudhary · 26-Sep-2026 · Base case, via Net Income · ₹ bn unless stated</t>
  </si>
  <si>
    <t>DCF ASSUMPTIONS</t>
  </si>
  <si>
    <t>MODEL SETTINGS</t>
  </si>
  <si>
    <t>VALUATION RESULT</t>
  </si>
  <si>
    <t>Revenue Growth</t>
  </si>
  <si>
    <t>Net Margin</t>
  </si>
  <si>
    <t>Forecast Period</t>
  </si>
  <si>
    <t>Template</t>
  </si>
  <si>
    <t>via Net Income</t>
  </si>
  <si>
    <t>Discount Rate</t>
  </si>
  <si>
    <t>Exit Multiple</t>
  </si>
  <si>
    <t>DCF VALUE PER SHARE</t>
  </si>
  <si>
    <t>Blue = input   |   Black = formula   |   Green = link to Data sheet</t>
  </si>
  <si>
    <t>Last close as of 25-Sep-2026 (NSE: TITAN)</t>
  </si>
  <si>
    <t>Price date (valuation date)</t>
  </si>
  <si>
    <t>NSE close used for the price in C25; the stub runs from here to 31-Mar-2027</t>
  </si>
  <si>
    <t>Share of FY2027 net income still ahead of the price date; discount periods = stub, stub + 1, … years</t>
  </si>
  <si>
    <t>2. Revenue: FY2026 actual (₹875.8 bn) grows 17.2%, 17.6% and 17.0% in FY2027–FY2029 (analyst estimates), then fades on an S-curve from 17.04% to 6.95% by FY2042. The fade from FY2030 is my own assumption: it replaces the analysts' 7.2% estimate for FY2030. CAGR FY2026–FY2042: 12.6%.</t>
  </si>
  <si>
    <t>4. Timing: valuation date = price date (25-Sep-2026). The remaining 51% of FY2027 net income is counted; cash flows are discounted to each 31-March year-end (0.51, 1.51, … years).</t>
  </si>
  <si>
    <t>7. Value per share: equity value / 890 mn diluted shares = ₹4,052.21, 17.0% below the ₹4,884 market price (NSE close, 25-Sep-2026).</t>
  </si>
  <si>
    <t>Alpha Spread: TITAN DCF base case (forecast assumptions to FY2029, cost of equity, exit multiple), retrieved 26-Sep-2026</t>
  </si>
  <si>
    <t>Yahoo Finance: TITAN.NS close of Rs 4,884 on 25-Sep-2026</t>
  </si>
  <si>
    <t>Source: Screener.in quarterly results (consolidated). The FY2027 estimate includes this reported Q1; the model values the stock as of the price date (25-Sep-2026) and counts the remaining 51% of FY2027.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</si>
</sst>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#,##0.0;\(#,##0.0\);&quot;-&quot;"/>
    <numFmt numFmtId="165" formatCode="0.0%;\(0.0%\);&quot;-&quot;"/>
    <numFmt numFmtId="166" formatCode="#,##0;\(#,##0\);&quot;-&quot;"/>
    <numFmt numFmtId="167" formatCode="0.0%"/>
    <numFmt numFmtId="168" formatCode="#,##0.0"/>
    <numFmt numFmtId="169" formatCode="0.000%"/>
    <numFmt numFmtId="170" formatCode="0.00&quot;x&quot;"/>
    <numFmt numFmtId="171" formatCode="0.0000"/>
    <numFmt numFmtId="172" formatCode="0.0&quot;x&quot;"/>
    <numFmt numFmtId="173" formatCode="\+0.0%;\-0.0%;0.0%"/>
    <numFmt numFmtId="174" formatCode="0.00%;\(0.00%\);&quot;-&quot;"/>
    <numFmt numFmtId="175" formatCode="0.000"/>
    <numFmt numFmtId="176" formatCode="0.0&quot;x P/E&quot;"/>
    <numFmt numFmtId="177" formatCode="#,##0.00&quot; INR&quot;"/>
    <numFmt numFmtId="178" formatCode="dd/mmm/yyyy"/>
  </numFmts>
  <fonts count="29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1F2933"/>
      <name val="Arial"/>
      <family val="2"/>
    </font>
    <font>
      <i/>
      <sz val="10"/>
      <color theme="1"/>
      <name val="Arial"/>
      <family val="2"/>
    </font>
    <font>
      <i/>
      <sz val="9"/>
      <color rgb="FF6B7785"/>
      <name val="Arial"/>
      <family val="2"/>
    </font>
    <font>
      <b/>
      <sz val="10"/>
      <color rgb="FFFFFFFF"/>
      <name val="Arial"/>
      <family val="2"/>
    </font>
    <font>
      <b/>
      <sz val="10"/>
      <color rgb="FF1F2933"/>
      <name val="Arial"/>
      <family val="2"/>
    </font>
    <font>
      <sz val="10"/>
      <color rgb="FF0000FF"/>
      <name val="Arial"/>
      <family val="2"/>
    </font>
    <font>
      <i/>
      <sz val="8.5"/>
      <color rgb="FF6B7785"/>
      <name val="Arial"/>
      <family val="2"/>
    </font>
    <font>
      <sz val="9"/>
      <color theme="1"/>
      <name val="Arial"/>
      <family val="2"/>
    </font>
    <font>
      <u/>
      <sz val="10"/>
      <color theme="10"/>
      <name val="Arial"/>
      <family val="2"/>
    </font>
    <font>
      <u/>
      <sz val="9"/>
      <color theme="10"/>
      <name val="Arial"/>
      <family val="2"/>
    </font>
    <font>
      <b/>
      <sz val="11"/>
      <color theme="1"/>
      <name val="Arial"/>
      <family val="2"/>
    </font>
    <font>
      <i/>
      <sz val="8.5"/>
      <color rgb="FF2F80ED"/>
      <name val="Arial"/>
      <family val="2"/>
    </font>
    <font>
      <b/>
      <sz val="10"/>
      <color rgb="FF6B7785"/>
      <name val="Arial"/>
      <family val="2"/>
    </font>
    <font>
      <sz val="8.5"/>
      <color rgb="FF6B7785"/>
      <name val="Arial"/>
      <family val="2"/>
    </font>
    <font>
      <b/>
      <i/>
      <sz val="8.5"/>
      <color rgb="FF6B7785"/>
      <name val="Arial"/>
      <family val="2"/>
    </font>
    <font>
      <b/>
      <sz val="8.5"/>
      <color rgb="FF6B7785"/>
      <name val="Arial"/>
      <family val="2"/>
    </font>
    <font>
      <sz val="10"/>
      <color rgb="FF6B7785"/>
      <name val="Arial"/>
      <family val="2"/>
    </font>
    <font>
      <b/>
      <sz val="10"/>
      <color rgb="FF008000"/>
      <name val="Arial"/>
      <family val="2"/>
    </font>
    <font>
      <b/>
      <sz val="9"/>
      <color indexed="81"/>
      <name val="Tahoma"/>
      <family val="2"/>
    </font>
    <font>
      <b/>
      <sz val="16"/>
      <color rgb="FF1F2933"/>
      <name val="Arial"/>
      <family val="2"/>
    </font>
    <font>
      <sz val="9"/>
      <color rgb="FF6B7785"/>
      <name val="Arial"/>
      <family val="2"/>
    </font>
    <font>
      <b/>
      <sz val="9"/>
      <color rgb="FF6B7785"/>
      <name val="Arial"/>
      <family val="2"/>
    </font>
    <font>
      <sz val="10.5"/>
      <color rgb="FF1F2933"/>
      <name val="Arial"/>
      <family val="2"/>
    </font>
    <font>
      <b/>
      <sz val="10.5"/>
      <color rgb="FF1F2933"/>
      <name val="Arial"/>
      <family val="2"/>
    </font>
    <font>
      <b/>
      <sz val="8.5"/>
      <color rgb="FF1F2933"/>
      <name val="Arial"/>
      <family val="2"/>
    </font>
    <font>
      <b/>
      <sz val="20"/>
      <color rgb="FF1F2933"/>
      <name val="Arial"/>
      <family val="2"/>
    </font>
    <font>
      <b/>
      <sz val="10"/>
      <color rgb="FFB4231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9"/>
        <bgColor indexed="64"/>
      </patternFill>
    </fill>
    <fill>
      <patternFill patternType="solid">
        <fgColor rgb="FFE8F0FB"/>
        <bgColor indexed="64"/>
      </patternFill>
    </fill>
    <fill>
      <patternFill patternType="solid">
        <fgColor rgb="FFECF0F4"/>
        <bgColor indexed="64"/>
      </patternFill>
    </fill>
    <fill>
      <patternFill patternType="solid">
        <fgColor rgb="FFF3F5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8F8"/>
        <bgColor indexed="64"/>
      </patternFill>
    </fill>
    <fill>
      <patternFill patternType="solid">
        <fgColor rgb="FFFDE4E4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rgb="FF1F2933"/>
      </bottom>
      <diagonal/>
    </border>
    <border>
      <left/>
      <right/>
      <top style="thin">
        <color rgb="FFECF0F4"/>
      </top>
      <bottom style="thin">
        <color rgb="FFECF0F4"/>
      </bottom>
      <diagonal/>
    </border>
    <border>
      <left/>
      <right/>
      <top style="thin">
        <color rgb="FFECF0F4"/>
      </top>
      <bottom/>
      <diagonal/>
    </border>
    <border>
      <left/>
      <right/>
      <top style="thin">
        <color rgb="FF1F2933"/>
      </top>
      <bottom style="thin">
        <color rgb="FFECF0F4"/>
      </bottom>
      <diagonal/>
    </border>
    <border>
      <left style="thin">
        <color rgb="FFDEE3EA"/>
      </left>
      <right/>
      <top/>
      <bottom/>
      <diagonal/>
    </border>
    <border>
      <left style="thin">
        <color rgb="FFDEE3EA"/>
      </left>
      <right/>
      <top style="thin">
        <color rgb="FFDEE3EA"/>
      </top>
      <bottom style="thin">
        <color rgb="FF1F2933"/>
      </bottom>
      <diagonal/>
    </border>
    <border>
      <left/>
      <right/>
      <top style="thin">
        <color rgb="FFDEE3EA"/>
      </top>
      <bottom style="thin">
        <color rgb="FF1F2933"/>
      </bottom>
      <diagonal/>
    </border>
    <border>
      <left style="thin">
        <color rgb="FFDEE3EA"/>
      </left>
      <right/>
      <top/>
      <bottom style="thin">
        <color rgb="FFDEE3EA"/>
      </bottom>
      <diagonal/>
    </border>
    <border>
      <left/>
      <right/>
      <top/>
      <bottom style="thin">
        <color rgb="FFDEE3EA"/>
      </bottom>
      <diagonal/>
    </border>
    <border>
      <left/>
      <right style="thin">
        <color rgb="FFDEE3EA"/>
      </right>
      <top style="thin">
        <color rgb="FFDEE3EA"/>
      </top>
      <bottom style="thin">
        <color rgb="FF1F2933"/>
      </bottom>
      <diagonal/>
    </border>
    <border>
      <left/>
      <right style="thin">
        <color rgb="FFDEE3EA"/>
      </right>
      <top/>
      <bottom/>
      <diagonal/>
    </border>
    <border>
      <left/>
      <right style="thin">
        <color rgb="FFDEE3EA"/>
      </right>
      <top/>
      <bottom style="thin">
        <color rgb="FFDEE3EA"/>
      </bottom>
      <diagonal/>
    </border>
    <border>
      <left style="thin">
        <color rgb="FF2F80ED"/>
      </left>
      <right style="thin">
        <color rgb="FF2F80ED"/>
      </right>
      <top style="thin">
        <color rgb="FF2F80ED"/>
      </top>
      <bottom style="thin">
        <color rgb="FF2F80ED"/>
      </bottom>
      <diagonal/>
    </border>
    <border>
      <left/>
      <right/>
      <top style="thin">
        <color rgb="FF1F2933"/>
      </top>
      <bottom/>
      <diagonal/>
    </border>
    <border>
      <left/>
      <right style="thin">
        <color rgb="FF8FA1B3"/>
      </right>
      <top/>
      <bottom style="thin">
        <color rgb="FF1F2933"/>
      </bottom>
      <diagonal/>
    </border>
    <border>
      <left/>
      <right style="thin">
        <color rgb="FF8FA1B3"/>
      </right>
      <top/>
      <bottom/>
      <diagonal/>
    </border>
    <border>
      <left/>
      <right style="thin">
        <color rgb="FF8FA1B3"/>
      </right>
      <top style="thin">
        <color rgb="FFECF0F4"/>
      </top>
      <bottom/>
      <diagonal/>
    </border>
    <border>
      <left/>
      <right style="thin">
        <color rgb="FF8FA1B3"/>
      </right>
      <top style="thin">
        <color rgb="FF1F2933"/>
      </top>
      <bottom/>
      <diagonal/>
    </border>
    <border>
      <left style="thin">
        <color rgb="FFDEE3EA"/>
      </left>
      <right/>
      <top style="thin">
        <color rgb="FFDEE3EA"/>
      </top>
      <bottom style="thin">
        <color rgb="FFECF0F4"/>
      </bottom>
      <diagonal/>
    </border>
    <border>
      <left/>
      <right style="thin">
        <color rgb="FFDEE3EA"/>
      </right>
      <top style="thin">
        <color rgb="FFDEE3EA"/>
      </top>
      <bottom style="thin">
        <color rgb="FFECF0F4"/>
      </bottom>
      <diagonal/>
    </border>
    <border>
      <left style="thin">
        <color rgb="FFDEE3EA"/>
      </left>
      <right/>
      <top style="thin">
        <color rgb="FFECF0F4"/>
      </top>
      <bottom style="thin">
        <color rgb="FFECF0F4"/>
      </bottom>
      <diagonal/>
    </border>
    <border>
      <left/>
      <right style="thin">
        <color rgb="FFDEE3EA"/>
      </right>
      <top style="thin">
        <color rgb="FFECF0F4"/>
      </top>
      <bottom style="thin">
        <color rgb="FFECF0F4"/>
      </bottom>
      <diagonal/>
    </border>
    <border>
      <left style="thin">
        <color rgb="FFDEE3EA"/>
      </left>
      <right/>
      <top style="thin">
        <color rgb="FFECF0F4"/>
      </top>
      <bottom style="thin">
        <color rgb="FFDEE3EA"/>
      </bottom>
      <diagonal/>
    </border>
    <border>
      <left/>
      <right style="thin">
        <color rgb="FFDEE3EA"/>
      </right>
      <top style="thin">
        <color rgb="FFECF0F4"/>
      </top>
      <bottom style="thin">
        <color rgb="FFDEE3EA"/>
      </bottom>
      <diagonal/>
    </border>
    <border>
      <left style="thin">
        <color rgb="FFF2C4C4"/>
      </left>
      <right/>
      <top/>
      <bottom/>
      <diagonal/>
    </border>
    <border>
      <left style="thin">
        <color rgb="FFF2C4C4"/>
      </left>
      <right/>
      <top style="thin">
        <color rgb="FFF2C4C4"/>
      </top>
      <bottom/>
      <diagonal/>
    </border>
    <border>
      <left style="thin">
        <color rgb="FFF2C4C4"/>
      </left>
      <right/>
      <top/>
      <bottom style="thin">
        <color rgb="FFF2C4C4"/>
      </bottom>
      <diagonal/>
    </border>
    <border>
      <left/>
      <right style="thin">
        <color rgb="FFF2C4C4"/>
      </right>
      <top style="thin">
        <color rgb="FFF2C4C4"/>
      </top>
      <bottom/>
      <diagonal/>
    </border>
    <border>
      <left/>
      <right style="thin">
        <color rgb="FFF2C4C4"/>
      </right>
      <top/>
      <bottom/>
      <diagonal/>
    </border>
    <border>
      <left/>
      <right style="thin">
        <color rgb="FFF2C4C4"/>
      </right>
      <top/>
      <bottom style="thin">
        <color rgb="FFF2C4C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2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164" fontId="7" fillId="0" borderId="0" xfId="0" applyNumberFormat="1" applyFont="1"/>
    <xf numFmtId="165" fontId="0" fillId="0" borderId="0" xfId="0" applyNumberFormat="1"/>
    <xf numFmtId="49" fontId="0" fillId="0" borderId="0" xfId="0" applyNumberFormat="1" applyAlignment="1">
      <alignment horizontal="left"/>
    </xf>
    <xf numFmtId="0" fontId="8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66" fontId="7" fillId="0" borderId="0" xfId="0" applyNumberFormat="1" applyFont="1"/>
    <xf numFmtId="167" fontId="0" fillId="0" borderId="0" xfId="0" applyNumberFormat="1"/>
    <xf numFmtId="0" fontId="11" fillId="0" borderId="0" xfId="1" applyFont="1"/>
    <xf numFmtId="10" fontId="7" fillId="3" borderId="0" xfId="0" applyNumberFormat="1" applyFont="1" applyFill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left" indent="1"/>
    </xf>
    <xf numFmtId="4" fontId="7" fillId="3" borderId="0" xfId="0" applyNumberFormat="1" applyFont="1" applyFill="1" applyAlignment="1">
      <alignment horizontal="right"/>
    </xf>
    <xf numFmtId="0" fontId="0" fillId="0" borderId="2" xfId="0" applyBorder="1" applyAlignment="1">
      <alignment horizontal="left" indent="1"/>
    </xf>
    <xf numFmtId="0" fontId="0" fillId="0" borderId="3" xfId="0" applyBorder="1" applyAlignment="1">
      <alignment horizontal="left" indent="1"/>
    </xf>
    <xf numFmtId="168" fontId="7" fillId="3" borderId="3" xfId="0" applyNumberFormat="1" applyFont="1" applyFill="1" applyBorder="1" applyAlignment="1">
      <alignment horizontal="right"/>
    </xf>
    <xf numFmtId="49" fontId="7" fillId="3" borderId="3" xfId="0" applyNumberFormat="1" applyFont="1" applyFill="1" applyBorder="1" applyAlignment="1">
      <alignment horizontal="right"/>
    </xf>
    <xf numFmtId="10" fontId="7" fillId="3" borderId="3" xfId="0" applyNumberFormat="1" applyFont="1" applyFill="1" applyBorder="1" applyAlignment="1">
      <alignment horizontal="right"/>
    </xf>
    <xf numFmtId="169" fontId="7" fillId="3" borderId="3" xfId="0" applyNumberFormat="1" applyFont="1" applyFill="1" applyBorder="1" applyAlignment="1">
      <alignment horizontal="right"/>
    </xf>
    <xf numFmtId="170" fontId="7" fillId="3" borderId="3" xfId="0" applyNumberFormat="1" applyFont="1" applyFill="1" applyBorder="1" applyAlignment="1">
      <alignment horizontal="right"/>
    </xf>
    <xf numFmtId="164" fontId="7" fillId="3" borderId="3" xfId="0" applyNumberFormat="1" applyFont="1" applyFill="1" applyBorder="1" applyAlignment="1">
      <alignment horizontal="right"/>
    </xf>
    <xf numFmtId="2" fontId="0" fillId="0" borderId="2" xfId="0" applyNumberFormat="1" applyBorder="1" applyAlignment="1">
      <alignment horizontal="right"/>
    </xf>
    <xf numFmtId="171" fontId="0" fillId="0" borderId="0" xfId="0" applyNumberFormat="1"/>
    <xf numFmtId="164" fontId="0" fillId="0" borderId="0" xfId="0" applyNumberFormat="1" applyAlignment="1">
      <alignment horizontal="right"/>
    </xf>
    <xf numFmtId="164" fontId="0" fillId="0" borderId="3" xfId="0" applyNumberFormat="1" applyBorder="1" applyAlignment="1">
      <alignment horizontal="right"/>
    </xf>
    <xf numFmtId="170" fontId="0" fillId="0" borderId="3" xfId="0" applyNumberFormat="1" applyBorder="1" applyAlignment="1">
      <alignment horizontal="right"/>
    </xf>
    <xf numFmtId="171" fontId="0" fillId="0" borderId="3" xfId="0" applyNumberFormat="1" applyBorder="1" applyAlignment="1">
      <alignment horizontal="right"/>
    </xf>
    <xf numFmtId="165" fontId="0" fillId="0" borderId="3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0" fontId="1" fillId="0" borderId="3" xfId="0" applyFont="1" applyBorder="1" applyAlignment="1">
      <alignment horizontal="left" indent="1"/>
    </xf>
    <xf numFmtId="168" fontId="0" fillId="0" borderId="0" xfId="0" applyNumberFormat="1" applyAlignment="1">
      <alignment horizontal="right"/>
    </xf>
    <xf numFmtId="0" fontId="1" fillId="4" borderId="4" xfId="0" applyFont="1" applyFill="1" applyBorder="1" applyAlignment="1">
      <alignment horizontal="left" indent="1"/>
    </xf>
    <xf numFmtId="164" fontId="1" fillId="4" borderId="4" xfId="0" applyNumberFormat="1" applyFont="1" applyFill="1" applyBorder="1" applyAlignment="1">
      <alignment horizontal="right"/>
    </xf>
    <xf numFmtId="4" fontId="0" fillId="0" borderId="0" xfId="0" applyNumberFormat="1" applyAlignment="1">
      <alignment horizontal="right"/>
    </xf>
    <xf numFmtId="4" fontId="12" fillId="4" borderId="4" xfId="0" applyNumberFormat="1" applyFont="1" applyFill="1" applyBorder="1" applyAlignment="1">
      <alignment horizontal="right"/>
    </xf>
    <xf numFmtId="172" fontId="7" fillId="3" borderId="0" xfId="0" applyNumberFormat="1" applyFont="1" applyFill="1"/>
    <xf numFmtId="167" fontId="7" fillId="3" borderId="0" xfId="0" applyNumberFormat="1" applyFont="1" applyFill="1"/>
    <xf numFmtId="0" fontId="8" fillId="0" borderId="0" xfId="0" applyFont="1" applyAlignment="1">
      <alignment horizontal="right"/>
    </xf>
    <xf numFmtId="166" fontId="0" fillId="0" borderId="0" xfId="0" applyNumberFormat="1"/>
    <xf numFmtId="10" fontId="1" fillId="0" borderId="5" xfId="0" applyNumberFormat="1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172" fontId="1" fillId="0" borderId="7" xfId="0" applyNumberFormat="1" applyFont="1" applyBorder="1" applyAlignment="1">
      <alignment horizontal="right"/>
    </xf>
    <xf numFmtId="10" fontId="1" fillId="0" borderId="8" xfId="0" applyNumberFormat="1" applyFont="1" applyBorder="1" applyAlignment="1">
      <alignment horizontal="right"/>
    </xf>
    <xf numFmtId="166" fontId="0" fillId="0" borderId="9" xfId="0" applyNumberFormat="1" applyBorder="1"/>
    <xf numFmtId="172" fontId="1" fillId="0" borderId="10" xfId="0" applyNumberFormat="1" applyFont="1" applyBorder="1" applyAlignment="1">
      <alignment horizontal="right"/>
    </xf>
    <xf numFmtId="166" fontId="0" fillId="0" borderId="11" xfId="0" applyNumberFormat="1" applyBorder="1"/>
    <xf numFmtId="166" fontId="0" fillId="0" borderId="12" xfId="0" applyNumberFormat="1" applyBorder="1"/>
    <xf numFmtId="166" fontId="1" fillId="5" borderId="13" xfId="0" applyNumberFormat="1" applyFont="1" applyFill="1" applyBorder="1"/>
    <xf numFmtId="173" fontId="1" fillId="0" borderId="5" xfId="0" applyNumberFormat="1" applyFont="1" applyBorder="1" applyAlignment="1">
      <alignment horizontal="right"/>
    </xf>
    <xf numFmtId="10" fontId="1" fillId="0" borderId="7" xfId="0" applyNumberFormat="1" applyFont="1" applyBorder="1" applyAlignment="1">
      <alignment horizontal="right"/>
    </xf>
    <xf numFmtId="173" fontId="1" fillId="0" borderId="8" xfId="0" applyNumberFormat="1" applyFont="1" applyBorder="1" applyAlignment="1">
      <alignment horizontal="right"/>
    </xf>
    <xf numFmtId="10" fontId="1" fillId="0" borderId="10" xfId="0" applyNumberFormat="1" applyFont="1" applyBorder="1" applyAlignment="1">
      <alignment horizontal="right"/>
    </xf>
    <xf numFmtId="0" fontId="13" fillId="0" borderId="0" xfId="0" applyFont="1"/>
    <xf numFmtId="0" fontId="14" fillId="6" borderId="0" xfId="0" applyFont="1" applyFill="1"/>
    <xf numFmtId="0" fontId="15" fillId="0" borderId="0" xfId="0" applyFont="1"/>
    <xf numFmtId="173" fontId="15" fillId="0" borderId="0" xfId="0" applyNumberFormat="1" applyFont="1"/>
    <xf numFmtId="168" fontId="15" fillId="0" borderId="0" xfId="0" applyNumberFormat="1" applyFont="1"/>
    <xf numFmtId="164" fontId="15" fillId="0" borderId="0" xfId="0" applyNumberFormat="1" applyFont="1"/>
    <xf numFmtId="0" fontId="15" fillId="0" borderId="0" xfId="0" applyFont="1" applyAlignment="1">
      <alignment horizontal="left" indent="1"/>
    </xf>
    <xf numFmtId="49" fontId="6" fillId="0" borderId="1" xfId="0" applyNumberFormat="1" applyFont="1" applyBorder="1" applyAlignment="1">
      <alignment horizontal="right"/>
    </xf>
    <xf numFmtId="49" fontId="6" fillId="5" borderId="1" xfId="0" applyNumberFormat="1" applyFont="1" applyFill="1" applyBorder="1" applyAlignment="1">
      <alignment horizontal="right"/>
    </xf>
    <xf numFmtId="0" fontId="8" fillId="5" borderId="0" xfId="0" applyFont="1" applyFill="1" applyAlignment="1">
      <alignment horizontal="right"/>
    </xf>
    <xf numFmtId="1" fontId="15" fillId="0" borderId="0" xfId="0" applyNumberFormat="1" applyFont="1"/>
    <xf numFmtId="1" fontId="15" fillId="0" borderId="0" xfId="0" applyNumberFormat="1" applyFont="1" applyAlignment="1">
      <alignment horizontal="right"/>
    </xf>
    <xf numFmtId="1" fontId="15" fillId="5" borderId="0" xfId="0" applyNumberFormat="1" applyFont="1" applyFill="1" applyAlignment="1">
      <alignment horizontal="right"/>
    </xf>
    <xf numFmtId="1" fontId="8" fillId="0" borderId="0" xfId="0" applyNumberFormat="1" applyFont="1"/>
    <xf numFmtId="0" fontId="16" fillId="2" borderId="0" xfId="0" applyFont="1" applyFill="1"/>
    <xf numFmtId="0" fontId="17" fillId="0" borderId="1" xfId="0" applyFont="1" applyBorder="1"/>
    <xf numFmtId="165" fontId="3" fillId="0" borderId="0" xfId="0" applyNumberFormat="1" applyFont="1"/>
    <xf numFmtId="174" fontId="0" fillId="0" borderId="0" xfId="0" applyNumberFormat="1"/>
    <xf numFmtId="175" fontId="18" fillId="0" borderId="0" xfId="0" applyNumberFormat="1" applyFont="1"/>
    <xf numFmtId="0" fontId="0" fillId="0" borderId="0" xfId="0" applyAlignment="1">
      <alignment horizontal="left" indent="2"/>
    </xf>
    <xf numFmtId="0" fontId="16" fillId="0" borderId="3" xfId="0" applyFont="1" applyBorder="1"/>
    <xf numFmtId="164" fontId="19" fillId="0" borderId="3" xfId="0" applyNumberFormat="1" applyFont="1" applyBorder="1"/>
    <xf numFmtId="164" fontId="1" fillId="0" borderId="3" xfId="0" applyNumberFormat="1" applyFont="1" applyBorder="1"/>
    <xf numFmtId="0" fontId="1" fillId="0" borderId="14" xfId="0" applyFont="1" applyBorder="1" applyAlignment="1">
      <alignment horizontal="left" indent="1"/>
    </xf>
    <xf numFmtId="0" fontId="8" fillId="0" borderId="14" xfId="0" applyFont="1" applyBorder="1"/>
    <xf numFmtId="0" fontId="0" fillId="0" borderId="14" xfId="0" applyBorder="1"/>
    <xf numFmtId="164" fontId="1" fillId="0" borderId="14" xfId="0" applyNumberFormat="1" applyFont="1" applyBorder="1"/>
    <xf numFmtId="49" fontId="6" fillId="0" borderId="15" xfId="0" applyNumberFormat="1" applyFont="1" applyBorder="1" applyAlignment="1">
      <alignment horizontal="right"/>
    </xf>
    <xf numFmtId="0" fontId="8" fillId="0" borderId="16" xfId="0" applyFont="1" applyBorder="1" applyAlignment="1">
      <alignment horizontal="right"/>
    </xf>
    <xf numFmtId="1" fontId="15" fillId="0" borderId="16" xfId="0" applyNumberFormat="1" applyFont="1" applyBorder="1" applyAlignment="1">
      <alignment horizontal="right"/>
    </xf>
    <xf numFmtId="164" fontId="19" fillId="0" borderId="17" xfId="0" applyNumberFormat="1" applyFont="1" applyBorder="1"/>
    <xf numFmtId="165" fontId="3" fillId="0" borderId="16" xfId="0" applyNumberFormat="1" applyFont="1" applyBorder="1"/>
    <xf numFmtId="0" fontId="0" fillId="0" borderId="16" xfId="0" applyBorder="1"/>
    <xf numFmtId="174" fontId="0" fillId="0" borderId="16" xfId="0" applyNumberFormat="1" applyBorder="1"/>
    <xf numFmtId="0" fontId="5" fillId="2" borderId="16" xfId="0" applyFont="1" applyFill="1" applyBorder="1"/>
    <xf numFmtId="0" fontId="0" fillId="0" borderId="18" xfId="0" applyBorder="1"/>
    <xf numFmtId="0" fontId="0" fillId="7" borderId="0" xfId="0" applyFill="1" applyAlignment="1">
      <alignment vertical="center"/>
    </xf>
    <xf numFmtId="0" fontId="21" fillId="7" borderId="0" xfId="0" applyFont="1" applyFill="1" applyAlignment="1">
      <alignment vertical="center"/>
    </xf>
    <xf numFmtId="0" fontId="22" fillId="7" borderId="0" xfId="0" applyFont="1" applyFill="1" applyAlignment="1">
      <alignment vertical="center"/>
    </xf>
    <xf numFmtId="0" fontId="23" fillId="7" borderId="0" xfId="0" applyFont="1" applyFill="1" applyAlignment="1">
      <alignment vertical="center"/>
    </xf>
    <xf numFmtId="0" fontId="24" fillId="8" borderId="19" xfId="0" applyFont="1" applyFill="1" applyBorder="1" applyAlignment="1">
      <alignment horizontal="left" vertical="center" indent="1"/>
    </xf>
    <xf numFmtId="0" fontId="24" fillId="8" borderId="21" xfId="0" applyFont="1" applyFill="1" applyBorder="1" applyAlignment="1">
      <alignment horizontal="left" vertical="center" indent="1"/>
    </xf>
    <xf numFmtId="0" fontId="24" fillId="8" borderId="23" xfId="0" applyFont="1" applyFill="1" applyBorder="1" applyAlignment="1">
      <alignment horizontal="left" vertical="center" indent="1"/>
    </xf>
    <xf numFmtId="167" fontId="25" fillId="8" borderId="20" xfId="0" applyNumberFormat="1" applyFont="1" applyFill="1" applyBorder="1" applyAlignment="1">
      <alignment horizontal="right" vertical="center" indent="1"/>
    </xf>
    <xf numFmtId="0" fontId="25" fillId="8" borderId="22" xfId="0" applyFont="1" applyFill="1" applyBorder="1" applyAlignment="1">
      <alignment horizontal="right" vertical="center" indent="1"/>
    </xf>
    <xf numFmtId="0" fontId="25" fillId="8" borderId="24" xfId="0" applyFont="1" applyFill="1" applyBorder="1" applyAlignment="1">
      <alignment horizontal="right" vertical="center" indent="1"/>
    </xf>
    <xf numFmtId="0" fontId="25" fillId="8" borderId="20" xfId="0" applyFont="1" applyFill="1" applyBorder="1" applyAlignment="1">
      <alignment horizontal="right" vertical="center" indent="1"/>
    </xf>
    <xf numFmtId="167" fontId="25" fillId="8" borderId="22" xfId="0" applyNumberFormat="1" applyFont="1" applyFill="1" applyBorder="1" applyAlignment="1">
      <alignment horizontal="right" vertical="center" indent="1"/>
    </xf>
    <xf numFmtId="176" fontId="25" fillId="8" borderId="24" xfId="0" applyNumberFormat="1" applyFont="1" applyFill="1" applyBorder="1" applyAlignment="1">
      <alignment horizontal="right" vertical="center" indent="1"/>
    </xf>
    <xf numFmtId="0" fontId="0" fillId="9" borderId="28" xfId="0" applyFill="1" applyBorder="1" applyAlignment="1">
      <alignment vertical="center"/>
    </xf>
    <xf numFmtId="0" fontId="0" fillId="9" borderId="30" xfId="0" applyFill="1" applyBorder="1" applyAlignment="1">
      <alignment vertical="center"/>
    </xf>
    <xf numFmtId="0" fontId="26" fillId="9" borderId="26" xfId="0" applyFont="1" applyFill="1" applyBorder="1" applyAlignment="1">
      <alignment horizontal="left" vertical="center" indent="1"/>
    </xf>
    <xf numFmtId="177" fontId="27" fillId="9" borderId="25" xfId="0" applyNumberFormat="1" applyFont="1" applyFill="1" applyBorder="1" applyAlignment="1">
      <alignment horizontal="left" vertical="center" indent="1"/>
    </xf>
    <xf numFmtId="0" fontId="28" fillId="10" borderId="29" xfId="0" applyFont="1" applyFill="1" applyBorder="1" applyAlignment="1">
      <alignment horizontal="center" vertical="center"/>
    </xf>
    <xf numFmtId="0" fontId="15" fillId="9" borderId="27" xfId="0" applyFont="1" applyFill="1" applyBorder="1" applyAlignment="1">
      <alignment horizontal="left" vertical="center" indent="1"/>
    </xf>
    <xf numFmtId="0" fontId="28" fillId="0" borderId="3" xfId="0" applyFont="1" applyBorder="1" applyAlignment="1">
      <alignment horizontal="right"/>
    </xf>
    <xf numFmtId="0" fontId="8" fillId="7" borderId="0" xfId="0" applyFont="1" applyFill="1" applyAlignment="1">
      <alignment vertical="center"/>
    </xf>
    <xf numFmtId="178" fontId="7" fillId="3" borderId="3" xfId="0" applyNumberFormat="1" applyFont="1" applyFill="1" applyBorder="1" applyAlignment="1">
      <alignment horizontal="right"/>
    </xf>
    <xf numFmtId="0" fontId="9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</cellXfs>
  <cellStyles count="2">
    <cellStyle name="Hyperlink" xfId="1" builtinId="8"/>
    <cellStyle name="Normal" xfId="0" builtinId="0" customBuiltin="1"/>
  </cellStyles>
  <dxfs count="3">
    <dxf>
      <font>
        <color rgb="FF1E7B34"/>
      </font>
    </dxf>
    <dxf>
      <font>
        <color rgb="FF1E7B34"/>
      </font>
      <fill>
        <patternFill>
          <bgColor rgb="FFE2F3E7"/>
        </patternFill>
      </fill>
    </dxf>
    <dxf>
      <fill>
        <patternFill>
          <bgColor rgb="FFF6FC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>
                <a:solidFill>
                  <a:srgbClr val="1F2933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2042 · FORECAST</a:t>
            </a:r>
          </a:p>
        </c:rich>
      </c:tx>
      <c:layout>
        <c:manualLayout>
          <c:xMode val="edge"/>
          <c:yMode val="edge"/>
          <c:x val="2.6845637583892617E-2"/>
          <c:y val="3.648802299798908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4850886927724639E-2"/>
          <c:y val="0.13987075482562483"/>
          <c:w val="0.91275167785234901"/>
          <c:h val="0.73584179712611331"/>
        </c:manualLayout>
      </c:layout>
      <c:barChart>
        <c:barDir val="col"/>
        <c:grouping val="clustered"/>
        <c:varyColors val="0"/>
        <c:ser>
          <c:idx val="0"/>
          <c:order val="0"/>
          <c:tx>
            <c:v>Forecast period</c:v>
          </c:tx>
          <c:spPr>
            <a:solidFill>
              <a:srgbClr val="ECF2FA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1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50" b="1">
                        <a:solidFill>
                          <a:srgbClr val="6B7785"/>
                        </a:solidFill>
                      </a:defRPr>
                    </a:pPr>
                    <a:r>
                      <a:rPr lang="en-US"/>
                      <a:t>FORECAST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62D0-4B84-BD4F-B6353C4486E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DCF!$D$38:$AC$38</c:f>
              <c:strCache>
                <c:ptCount val="2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</c:strCache>
            </c:strRef>
          </c:cat>
          <c:val>
            <c:numRef>
              <c:f>DCF!$D$98:$AC$98</c:f>
              <c:numCache>
                <c:formatCode>#,##0.0;\(#,##0.0\);"-"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D0-4B84-BD4F-B6353C448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15272944"/>
        <c:axId val="1122355120"/>
      </c:barChart>
      <c:barChart>
        <c:barDir val="col"/>
        <c:grouping val="clustered"/>
        <c:varyColors val="0"/>
        <c:ser>
          <c:idx val="1"/>
          <c:order val="1"/>
          <c:tx>
            <c:strRef>
              <c:f>DCF!$C$104</c:f>
              <c:strCache>
                <c:ptCount val="1"/>
                <c:pt idx="0">
                  <c:v>Revenue  5.9T</c:v>
                </c:pt>
              </c:strCache>
            </c:strRef>
          </c:tx>
          <c:spPr>
            <a:solidFill>
              <a:srgbClr val="8FA1B3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10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62D0-4B84-BD4F-B6353C4486E6}"/>
              </c:ext>
            </c:extLst>
          </c:dPt>
          <c:dPt>
            <c:idx val="11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62D0-4B84-BD4F-B6353C4486E6}"/>
              </c:ext>
            </c:extLst>
          </c:dPt>
          <c:dPt>
            <c:idx val="12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62D0-4B84-BD4F-B6353C4486E6}"/>
              </c:ext>
            </c:extLst>
          </c:dPt>
          <c:dPt>
            <c:idx val="13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62D0-4B84-BD4F-B6353C4486E6}"/>
              </c:ext>
            </c:extLst>
          </c:dPt>
          <c:dPt>
            <c:idx val="14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A-62D0-4B84-BD4F-B6353C4486E6}"/>
              </c:ext>
            </c:extLst>
          </c:dPt>
          <c:dPt>
            <c:idx val="15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62D0-4B84-BD4F-B6353C4486E6}"/>
              </c:ext>
            </c:extLst>
          </c:dPt>
          <c:dPt>
            <c:idx val="16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C-62D0-4B84-BD4F-B6353C4486E6}"/>
              </c:ext>
            </c:extLst>
          </c:dPt>
          <c:dPt>
            <c:idx val="17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D-62D0-4B84-BD4F-B6353C4486E6}"/>
              </c:ext>
            </c:extLst>
          </c:dPt>
          <c:dPt>
            <c:idx val="18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E-62D0-4B84-BD4F-B6353C4486E6}"/>
              </c:ext>
            </c:extLst>
          </c:dPt>
          <c:dPt>
            <c:idx val="19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62D0-4B84-BD4F-B6353C4486E6}"/>
              </c:ext>
            </c:extLst>
          </c:dPt>
          <c:dPt>
            <c:idx val="20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0-62D0-4B84-BD4F-B6353C4486E6}"/>
              </c:ext>
            </c:extLst>
          </c:dPt>
          <c:dPt>
            <c:idx val="21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1-62D0-4B84-BD4F-B6353C4486E6}"/>
              </c:ext>
            </c:extLst>
          </c:dPt>
          <c:dPt>
            <c:idx val="22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2-62D0-4B84-BD4F-B6353C4486E6}"/>
              </c:ext>
            </c:extLst>
          </c:dPt>
          <c:dPt>
            <c:idx val="23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3-62D0-4B84-BD4F-B6353C4486E6}"/>
              </c:ext>
            </c:extLst>
          </c:dPt>
          <c:dPt>
            <c:idx val="24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4-62D0-4B84-BD4F-B6353C4486E6}"/>
              </c:ext>
            </c:extLst>
          </c:dPt>
          <c:dPt>
            <c:idx val="25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5-62D0-4B84-BD4F-B6353C4486E6}"/>
              </c:ext>
            </c:extLst>
          </c:dPt>
          <c:cat>
            <c:strRef>
              <c:f>DCF!$D$38:$AC$38</c:f>
              <c:strCache>
                <c:ptCount val="2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</c:strCache>
            </c:strRef>
          </c:cat>
          <c:val>
            <c:numRef>
              <c:f>DCF!$D$41:$AC$41</c:f>
              <c:numCache>
                <c:formatCode>#,##0.0;\(#,##0.0\);"-"</c:formatCode>
                <c:ptCount val="26"/>
                <c:pt idx="0">
                  <c:v>133.821</c:v>
                </c:pt>
                <c:pt idx="1">
                  <c:v>161.56</c:v>
                </c:pt>
                <c:pt idx="2">
                  <c:v>197.785</c:v>
                </c:pt>
                <c:pt idx="3">
                  <c:v>210.51499999999999</c:v>
                </c:pt>
                <c:pt idx="4">
                  <c:v>216.44</c:v>
                </c:pt>
                <c:pt idx="5">
                  <c:v>287.99</c:v>
                </c:pt>
                <c:pt idx="6">
                  <c:v>405.75</c:v>
                </c:pt>
                <c:pt idx="7">
                  <c:v>510.84</c:v>
                </c:pt>
                <c:pt idx="8">
                  <c:v>604.55999999999995</c:v>
                </c:pt>
                <c:pt idx="9">
                  <c:v>875.84</c:v>
                </c:pt>
                <c:pt idx="10">
                  <c:v>1026.4285110860249</c:v>
                </c:pt>
                <c:pt idx="11">
                  <c:v>1207.1745610986927</c:v>
                </c:pt>
                <c:pt idx="12">
                  <c:v>1412.8550816390061</c:v>
                </c:pt>
                <c:pt idx="13">
                  <c:v>1651.1799976889013</c:v>
                </c:pt>
                <c:pt idx="14">
                  <c:v>1921.8977403984352</c:v>
                </c:pt>
                <c:pt idx="15">
                  <c:v>2223.1469182652531</c:v>
                </c:pt>
                <c:pt idx="16">
                  <c:v>2551.3031779742937</c:v>
                </c:pt>
                <c:pt idx="17">
                  <c:v>2901.0733195613188</c:v>
                </c:pt>
                <c:pt idx="18">
                  <c:v>3265.8950680915164</c:v>
                </c:pt>
                <c:pt idx="19">
                  <c:v>3638.6576031520667</c:v>
                </c:pt>
                <c:pt idx="20">
                  <c:v>4012.7017835273391</c:v>
                </c:pt>
                <c:pt idx="21">
                  <c:v>4383.0063641256111</c:v>
                </c:pt>
                <c:pt idx="22">
                  <c:v>4747.4371918144789</c:v>
                </c:pt>
                <c:pt idx="23">
                  <c:v>5107.9475673205443</c:v>
                </c:pt>
                <c:pt idx="24">
                  <c:v>5471.678384982346</c:v>
                </c:pt>
                <c:pt idx="25">
                  <c:v>5852.0147495224683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D0-4B84-BD4F-B6353C4486E6}"/>
            </c:ext>
          </c:extLst>
        </c:ser>
        <c:ser>
          <c:idx val="2"/>
          <c:order val="2"/>
          <c:tx>
            <c:strRef>
              <c:f>DCF!$C$105</c:f>
              <c:strCache>
                <c:ptCount val="1"/>
                <c:pt idx="0">
                  <c:v>Net Income  387.9B</c:v>
                </c:pt>
              </c:strCache>
            </c:strRef>
          </c:tx>
          <c:spPr>
            <a:solidFill>
              <a:srgbClr val="2F80E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10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6-62D0-4B84-BD4F-B6353C4486E6}"/>
              </c:ext>
            </c:extLst>
          </c:dPt>
          <c:dPt>
            <c:idx val="11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7-62D0-4B84-BD4F-B6353C4486E6}"/>
              </c:ext>
            </c:extLst>
          </c:dPt>
          <c:dPt>
            <c:idx val="12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8-62D0-4B84-BD4F-B6353C4486E6}"/>
              </c:ext>
            </c:extLst>
          </c:dPt>
          <c:dPt>
            <c:idx val="13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9-62D0-4B84-BD4F-B6353C4486E6}"/>
              </c:ext>
            </c:extLst>
          </c:dPt>
          <c:dPt>
            <c:idx val="14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A-62D0-4B84-BD4F-B6353C4486E6}"/>
              </c:ext>
            </c:extLst>
          </c:dPt>
          <c:dPt>
            <c:idx val="15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B-62D0-4B84-BD4F-B6353C4486E6}"/>
              </c:ext>
            </c:extLst>
          </c:dPt>
          <c:dPt>
            <c:idx val="16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C-62D0-4B84-BD4F-B6353C4486E6}"/>
              </c:ext>
            </c:extLst>
          </c:dPt>
          <c:dPt>
            <c:idx val="17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D-62D0-4B84-BD4F-B6353C4486E6}"/>
              </c:ext>
            </c:extLst>
          </c:dPt>
          <c:dPt>
            <c:idx val="18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E-62D0-4B84-BD4F-B6353C4486E6}"/>
              </c:ext>
            </c:extLst>
          </c:dPt>
          <c:dPt>
            <c:idx val="19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F-62D0-4B84-BD4F-B6353C4486E6}"/>
              </c:ext>
            </c:extLst>
          </c:dPt>
          <c:dPt>
            <c:idx val="20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0-62D0-4B84-BD4F-B6353C4486E6}"/>
              </c:ext>
            </c:extLst>
          </c:dPt>
          <c:dPt>
            <c:idx val="21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1-62D0-4B84-BD4F-B6353C4486E6}"/>
              </c:ext>
            </c:extLst>
          </c:dPt>
          <c:dPt>
            <c:idx val="22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2-62D0-4B84-BD4F-B6353C4486E6}"/>
              </c:ext>
            </c:extLst>
          </c:dPt>
          <c:dPt>
            <c:idx val="23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3-62D0-4B84-BD4F-B6353C4486E6}"/>
              </c:ext>
            </c:extLst>
          </c:dPt>
          <c:dPt>
            <c:idx val="24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4-62D0-4B84-BD4F-B6353C4486E6}"/>
              </c:ext>
            </c:extLst>
          </c:dPt>
          <c:dPt>
            <c:idx val="25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5-62D0-4B84-BD4F-B6353C4486E6}"/>
              </c:ext>
            </c:extLst>
          </c:dPt>
          <c:cat>
            <c:strRef>
              <c:f>DCF!$D$38:$AC$38</c:f>
              <c:strCache>
                <c:ptCount val="2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</c:strCache>
            </c:strRef>
          </c:cat>
          <c:val>
            <c:numRef>
              <c:f>DCF!$D$46:$AC$46</c:f>
              <c:numCache>
                <c:formatCode>#,##0.0;\(#,##0.0\);"-"</c:formatCode>
                <c:ptCount val="26"/>
                <c:pt idx="0">
                  <c:v>7.1150000000000002</c:v>
                </c:pt>
                <c:pt idx="1">
                  <c:v>11.300999999999998</c:v>
                </c:pt>
                <c:pt idx="2">
                  <c:v>14.042</c:v>
                </c:pt>
                <c:pt idx="3">
                  <c:v>15.014000000000001</c:v>
                </c:pt>
                <c:pt idx="4">
                  <c:v>9.73</c:v>
                </c:pt>
                <c:pt idx="5">
                  <c:v>21.73</c:v>
                </c:pt>
                <c:pt idx="6">
                  <c:v>32.5</c:v>
                </c:pt>
                <c:pt idx="7">
                  <c:v>34.96</c:v>
                </c:pt>
                <c:pt idx="8">
                  <c:v>33.369999999999997</c:v>
                </c:pt>
                <c:pt idx="9">
                  <c:v>50.73</c:v>
                </c:pt>
                <c:pt idx="10">
                  <c:v>68.869609549214076</c:v>
                </c:pt>
                <c:pt idx="11">
                  <c:v>80.965377592303938</c:v>
                </c:pt>
                <c:pt idx="12">
                  <c:v>94.702873716468233</c:v>
                </c:pt>
                <c:pt idx="13">
                  <c:v>110.59045706278856</c:v>
                </c:pt>
                <c:pt idx="14">
                  <c:v>128.60212452407438</c:v>
                </c:pt>
                <c:pt idx="15">
                  <c:v>148.60490427785041</c:v>
                </c:pt>
                <c:pt idx="16">
                  <c:v>170.35003279964829</c:v>
                </c:pt>
                <c:pt idx="17">
                  <c:v>193.48073895025564</c:v>
                </c:pt>
                <c:pt idx="18">
                  <c:v>217.5602560920066</c:v>
                </c:pt>
                <c:pt idx="19">
                  <c:v>242.12076305165255</c:v>
                </c:pt>
                <c:pt idx="20">
                  <c:v>266.73026717228083</c:v>
                </c:pt>
                <c:pt idx="21">
                  <c:v>291.07108675633634</c:v>
                </c:pt>
                <c:pt idx="22">
                  <c:v>315.02185823320582</c:v>
                </c:pt>
                <c:pt idx="23">
                  <c:v>338.73597468900942</c:v>
                </c:pt>
                <c:pt idx="24">
                  <c:v>362.71357761089348</c:v>
                </c:pt>
                <c:pt idx="25">
                  <c:v>387.87153759834922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D0-4B84-BD4F-B6353C448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0"/>
        <c:overlap val="-15"/>
        <c:axId val="815276192"/>
        <c:axId val="1122352720"/>
      </c:barChart>
      <c:lineChart>
        <c:grouping val="standard"/>
        <c:varyColors val="0"/>
        <c:ser>
          <c:idx val="3"/>
          <c:order val="3"/>
          <c:tx>
            <c:v>Revenue CAGR</c:v>
          </c:tx>
          <c:spPr>
            <a:ln w="15875">
              <a:solidFill>
                <a:srgbClr val="8FA1B3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FFFFFF"/>
              </a:solidFill>
              <a:ln w="15875">
                <a:solidFill>
                  <a:srgbClr val="8FA1B3"/>
                </a:solidFill>
                <a:prstDash val="lgDash"/>
              </a:ln>
            </c:spPr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6-62D0-4B84-BD4F-B6353C4486E6}"/>
              </c:ext>
            </c:extLst>
          </c:dPt>
          <c:dLbls>
            <c:dLbl>
              <c:idx val="17"/>
              <c:tx>
                <c:strRef>
                  <c:f>DCF!$C$101</c:f>
                  <c:strCache>
                    <c:ptCount val="1"/>
                    <c:pt idx="0">
                      <c:v>12.6% CAGR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solidFill>
                    <a:srgbClr val="DEE3EA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6B7785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{B5B6081D-09D1-4D18-9320-A71C493FAF4B}</c15:txfldGUID>
                      <c15:f>DCF!$C$101</c15:f>
                      <c15:dlblFieldTableCache>
                        <c:ptCount val="1"/>
                        <c:pt idx="0">
                          <c:v>12.6% CAGR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62D0-4B84-BD4F-B6353C4486E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DCF!$D$38:$AC$38</c:f>
              <c:strCache>
                <c:ptCount val="2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</c:strCache>
            </c:strRef>
          </c:cat>
          <c:val>
            <c:numRef>
              <c:f>DCF!$D$99:$AC$99</c:f>
              <c:numCache>
                <c:formatCode>#,##0.0;\(#,##0.0\);"-"</c:formatCode>
                <c:ptCount val="2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875.84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3363.9273747612342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5852.0147495224683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D0-4B84-BD4F-B6353C4486E6}"/>
            </c:ext>
          </c:extLst>
        </c:ser>
        <c:ser>
          <c:idx val="4"/>
          <c:order val="4"/>
          <c:tx>
            <c:v>Net income CAGR</c:v>
          </c:tx>
          <c:spPr>
            <a:ln w="15875">
              <a:solidFill>
                <a:srgbClr val="2F80ED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FFFFFF"/>
              </a:solidFill>
              <a:ln w="15875">
                <a:solidFill>
                  <a:srgbClr val="2F80ED"/>
                </a:solidFill>
                <a:prstDash val="lgDash"/>
              </a:ln>
            </c:spPr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7-62D0-4B84-BD4F-B6353C4486E6}"/>
              </c:ext>
            </c:extLst>
          </c:dPt>
          <c:dLbls>
            <c:dLbl>
              <c:idx val="17"/>
              <c:tx>
                <c:strRef>
                  <c:f>DCF!$C$102</c:f>
                  <c:strCache>
                    <c:ptCount val="1"/>
                    <c:pt idx="0">
                      <c:v>13.6% CAGR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solidFill>
                    <a:srgbClr val="DEE3EA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2F80ED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{5DD46E0B-23A2-445E-A915-84761D28BFE2}</c15:txfldGUID>
                      <c15:f>DCF!$C$102</c15:f>
                      <c15:dlblFieldTableCache>
                        <c:ptCount val="1"/>
                        <c:pt idx="0">
                          <c:v>13.6% CAGR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62D0-4B84-BD4F-B6353C4486E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DCF!$D$38:$AC$38</c:f>
              <c:strCache>
                <c:ptCount val="2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</c:strCache>
            </c:strRef>
          </c:cat>
          <c:val>
            <c:numRef>
              <c:f>DCF!$D$100:$AC$100</c:f>
              <c:numCache>
                <c:formatCode>#,##0.0;\(#,##0.0\);"-"</c:formatCode>
                <c:ptCount val="2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50.73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219.30076879917462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387.87153759834922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D0-4B84-BD4F-B6353C448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5276192"/>
        <c:axId val="1122352720"/>
      </c:lineChart>
      <c:catAx>
        <c:axId val="81527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EE3EA"/>
            </a:solidFill>
          </a:ln>
        </c:spPr>
        <c:txPr>
          <a:bodyPr rot="-2700000" vert="horz"/>
          <a:lstStyle/>
          <a:p>
            <a:pPr>
              <a:defRPr sz="850">
                <a:solidFill>
                  <a:srgbClr val="6B7785"/>
                </a:solidFill>
              </a:defRPr>
            </a:pPr>
            <a:endParaRPr lang="en-US"/>
          </a:p>
        </c:txPr>
        <c:crossAx val="1122355120"/>
        <c:crosses val="autoZero"/>
        <c:auto val="1"/>
        <c:lblAlgn val="ctr"/>
        <c:lblOffset val="100"/>
        <c:tickLblSkip val="1"/>
        <c:noMultiLvlLbl val="0"/>
      </c:catAx>
      <c:valAx>
        <c:axId val="1122355120"/>
        <c:scaling>
          <c:orientation val="minMax"/>
          <c:max val="1"/>
          <c:min val="0"/>
        </c:scaling>
        <c:delete val="0"/>
        <c:axPos val="l"/>
        <c:numFmt formatCode="#,##0.0;\(#,##0.0\);&quot;-&quot;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815272944"/>
        <c:crosses val="autoZero"/>
        <c:crossBetween val="between"/>
      </c:valAx>
      <c:valAx>
        <c:axId val="1122352720"/>
        <c:scaling>
          <c:orientation val="minMax"/>
          <c:min val="0"/>
        </c:scaling>
        <c:delete val="0"/>
        <c:axPos val="r"/>
        <c:majorGridlines>
          <c:spPr>
            <a:ln w="9525">
              <a:solidFill>
                <a:srgbClr val="ECF0F4"/>
              </a:solidFill>
            </a:ln>
          </c:spPr>
        </c:majorGridlines>
        <c:numFmt formatCode="[=0]&quot;&quot;;[&gt;=1000]0,&quot;T&quot;;0&quot;B&quot;" sourceLinked="0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900">
                <a:solidFill>
                  <a:srgbClr val="6B7785"/>
                </a:solidFill>
              </a:defRPr>
            </a:pPr>
            <a:endParaRPr lang="en-US"/>
          </a:p>
        </c:txPr>
        <c:crossAx val="815276192"/>
        <c:crosses val="max"/>
        <c:crossBetween val="between"/>
      </c:valAx>
      <c:catAx>
        <c:axId val="815276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2352720"/>
        <c:crosses val="autoZero"/>
        <c:auto val="1"/>
        <c:lblAlgn val="ctr"/>
        <c:lblOffset val="100"/>
        <c:noMultiLvlLbl val="0"/>
      </c:cat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8560023956736948"/>
          <c:y val="3.3465311119054625E-2"/>
          <c:w val="0.31156135684381736"/>
          <c:h val="5.1883622360454261E-2"/>
        </c:manualLayout>
      </c:layout>
      <c:overlay val="0"/>
      <c:txPr>
        <a:bodyPr/>
        <a:lstStyle/>
        <a:p>
          <a:pPr>
            <a:defRPr sz="1000">
              <a:solidFill>
                <a:srgbClr val="1F2933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>
      <a:solidFill>
        <a:srgbClr val="DEE3EA"/>
      </a:solidFill>
    </a:ln>
  </c:spPr>
  <c:txPr>
    <a:bodyPr/>
    <a:lstStyle/>
    <a:p>
      <a:pPr>
        <a:defRPr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RevenueNetIncomeChart">
          <a:extLst>
            <a:ext uri="{FF2B5EF4-FFF2-40B4-BE49-F238E27FC236}">
              <a16:creationId xmlns:a16="http://schemas.microsoft.com/office/drawing/2014/main" id="{54C9CABC-4DDB-5C89-2991-D31600C2B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screener.in/company/TITAN/consolidated/" TargetMode="External"/><Relationship Id="rId1" Type="http://schemas.openxmlformats.org/officeDocument/2006/relationships/hyperlink" Target="https://www.alphaspread.com/security/nse/titan/dcf-valuation/base-ca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7762-2206-4A24-B961-17BD40082043}">
  <sheetPr>
    <tabColor rgb="FF1F3A5F"/>
    <pageSetUpPr fitToPage="1"/>
  </sheetPr>
  <dimension ref="A1:AD105"/>
  <sheetViews>
    <sheetView showGridLines="0" tabSelected="1" zoomScale="90" zoomScaleNormal="90" workbookViewId="0"/>
  </sheetViews>
  <sheetFormatPr defaultRowHeight="12.75" x14ac:dyDescent="0.35"/>
  <cols>
    <col min="1" max="1" width="2.59765625" customWidth="1"/>
    <col min="2" max="2" width="44.59765625" customWidth="1"/>
    <col min="3" max="3" width="19.59765625" customWidth="1"/>
    <col min="4" max="29" width="9.9296875" customWidth="1"/>
    <col min="30" max="30" width="2.59765625" customWidth="1"/>
  </cols>
  <sheetData>
    <row r="1" spans="1:30" ht="8" customHeight="1" x14ac:dyDescent="0.35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</row>
    <row r="2" spans="1:30" ht="26" customHeight="1" x14ac:dyDescent="0.35">
      <c r="A2" s="96"/>
      <c r="B2" s="97" t="s">
        <v>122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</row>
    <row r="3" spans="1:30" ht="15" customHeight="1" x14ac:dyDescent="0.35">
      <c r="A3" s="96"/>
      <c r="B3" s="98" t="s">
        <v>123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</row>
    <row r="4" spans="1:30" ht="10.050000000000001" customHeight="1" x14ac:dyDescent="0.35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</row>
    <row r="5" spans="1:30" ht="22.05" customHeight="1" x14ac:dyDescent="0.35">
      <c r="A5" s="96"/>
      <c r="B5" s="99" t="s">
        <v>124</v>
      </c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</row>
    <row r="6" spans="1:30" ht="27" customHeight="1" x14ac:dyDescent="0.35">
      <c r="A6" s="96"/>
      <c r="B6" s="100" t="s">
        <v>127</v>
      </c>
      <c r="C6" s="103">
        <f>(AC41/M41)^(1/AC40)-1</f>
        <v>0.12604316753141065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</row>
    <row r="7" spans="1:30" ht="27" customHeight="1" x14ac:dyDescent="0.35">
      <c r="A7" s="96"/>
      <c r="B7" s="101" t="s">
        <v>128</v>
      </c>
      <c r="C7" s="104" t="str">
        <f>TEXT(MarginStart,"0.0%")&amp;" → "&amp;TEXT(MarginEnd,"0.0%")</f>
        <v>6.7% → 6.6%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</row>
    <row r="8" spans="1:30" ht="27" customHeight="1" x14ac:dyDescent="0.35">
      <c r="A8" s="96"/>
      <c r="B8" s="102" t="s">
        <v>129</v>
      </c>
      <c r="C8" s="105" t="str">
        <f>(AC40-1)&amp;" years"</f>
        <v>15 years</v>
      </c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</row>
    <row r="9" spans="1:30" ht="12" customHeight="1" x14ac:dyDescent="0.35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</row>
    <row r="10" spans="1:30" ht="22.05" customHeight="1" x14ac:dyDescent="0.35">
      <c r="A10" s="96"/>
      <c r="B10" s="99" t="s">
        <v>125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</row>
    <row r="11" spans="1:30" ht="27" customHeight="1" x14ac:dyDescent="0.35">
      <c r="A11" s="96"/>
      <c r="B11" s="100" t="s">
        <v>130</v>
      </c>
      <c r="C11" s="106" t="s">
        <v>131</v>
      </c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</row>
    <row r="12" spans="1:30" ht="27" customHeight="1" x14ac:dyDescent="0.35">
      <c r="A12" s="96"/>
      <c r="B12" s="101" t="s">
        <v>132</v>
      </c>
      <c r="C12" s="107">
        <f>DiscountRate</f>
        <v>0.1026</v>
      </c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</row>
    <row r="13" spans="1:30" ht="27" customHeight="1" x14ac:dyDescent="0.35">
      <c r="A13" s="96"/>
      <c r="B13" s="102" t="s">
        <v>133</v>
      </c>
      <c r="C13" s="108">
        <f>ExitMultiple</f>
        <v>26.522647545314999</v>
      </c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</row>
    <row r="14" spans="1:30" ht="12" customHeight="1" x14ac:dyDescent="0.35">
      <c r="A14" s="96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</row>
    <row r="15" spans="1:30" ht="22.05" customHeight="1" x14ac:dyDescent="0.35">
      <c r="A15" s="96"/>
      <c r="B15" s="99" t="s">
        <v>126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</row>
    <row r="16" spans="1:30" ht="20" customHeight="1" x14ac:dyDescent="0.35">
      <c r="A16" s="96"/>
      <c r="B16" s="111" t="s">
        <v>134</v>
      </c>
      <c r="C16" s="109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</row>
    <row r="17" spans="1:30" ht="36" customHeight="1" x14ac:dyDescent="0.35">
      <c r="A17" s="96"/>
      <c r="B17" s="112">
        <f>ValuePerShare</f>
        <v>4052.2133355727988</v>
      </c>
      <c r="C17" s="113" t="str">
        <f>C69</f>
        <v>Overvaluation 17%</v>
      </c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</row>
    <row r="18" spans="1:30" ht="22.05" customHeight="1" x14ac:dyDescent="0.35">
      <c r="A18" s="96"/>
      <c r="B18" s="114" t="str">
        <f>"vs. market price "&amp;TEXT(Price,"#,##0")&amp;" INR · DCF value is "&amp;TEXT(ABS(C68),"0.0%")&amp;IF(C68&lt;0," below"," above")&amp;" the price"</f>
        <v>vs. market price 4,884 INR · DCF value is 17.0% below the price</v>
      </c>
      <c r="C18" s="110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</row>
    <row r="19" spans="1:30" ht="10.050000000000001" customHeight="1" x14ac:dyDescent="0.35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</row>
    <row r="20" spans="1:30" ht="16.05" customHeight="1" x14ac:dyDescent="0.35">
      <c r="A20" s="96"/>
      <c r="B20" s="116" t="s">
        <v>135</v>
      </c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</row>
    <row r="21" spans="1:30" ht="8" customHeight="1" x14ac:dyDescent="0.35">
      <c r="A21" s="96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</row>
    <row r="22" spans="1:30" ht="8" customHeight="1" x14ac:dyDescent="0.35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</row>
    <row r="24" spans="1:30" ht="20" customHeight="1" x14ac:dyDescent="0.4">
      <c r="B24" s="4" t="s">
        <v>32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30" x14ac:dyDescent="0.35">
      <c r="B25" s="19" t="s">
        <v>33</v>
      </c>
      <c r="C25" s="20">
        <v>4884</v>
      </c>
      <c r="D25" s="10" t="s">
        <v>136</v>
      </c>
    </row>
    <row r="26" spans="1:30" x14ac:dyDescent="0.35">
      <c r="B26" s="22" t="s">
        <v>34</v>
      </c>
      <c r="C26" s="23">
        <v>890</v>
      </c>
      <c r="D26" s="10" t="s">
        <v>35</v>
      </c>
    </row>
    <row r="27" spans="1:30" x14ac:dyDescent="0.35">
      <c r="B27" s="22" t="s">
        <v>36</v>
      </c>
      <c r="C27" s="24" t="s">
        <v>37</v>
      </c>
      <c r="D27" s="10" t="s">
        <v>38</v>
      </c>
    </row>
    <row r="28" spans="1:30" x14ac:dyDescent="0.35">
      <c r="B28" s="22" t="s">
        <v>39</v>
      </c>
      <c r="C28" s="25">
        <v>0.126</v>
      </c>
      <c r="D28" s="10" t="s">
        <v>40</v>
      </c>
    </row>
    <row r="29" spans="1:30" x14ac:dyDescent="0.35">
      <c r="B29" s="22" t="s">
        <v>41</v>
      </c>
      <c r="C29" s="26">
        <v>6.7105625000000002E-2</v>
      </c>
      <c r="D29" s="10" t="s">
        <v>42</v>
      </c>
    </row>
    <row r="30" spans="1:30" x14ac:dyDescent="0.35">
      <c r="B30" s="22" t="s">
        <v>43</v>
      </c>
      <c r="C30" s="26">
        <v>6.6280000000000006E-2</v>
      </c>
      <c r="D30" s="10" t="s">
        <v>44</v>
      </c>
    </row>
    <row r="31" spans="1:30" x14ac:dyDescent="0.35">
      <c r="B31" s="22" t="s">
        <v>45</v>
      </c>
      <c r="C31" s="25">
        <v>0.1026</v>
      </c>
      <c r="D31" s="10" t="s">
        <v>46</v>
      </c>
    </row>
    <row r="32" spans="1:30" x14ac:dyDescent="0.35">
      <c r="B32" s="22" t="s">
        <v>47</v>
      </c>
      <c r="C32" s="27">
        <v>26.522647545314999</v>
      </c>
      <c r="D32" s="10" t="s">
        <v>48</v>
      </c>
    </row>
    <row r="33" spans="2:29" x14ac:dyDescent="0.35">
      <c r="B33" s="22" t="s">
        <v>49</v>
      </c>
      <c r="C33" s="28">
        <v>0</v>
      </c>
      <c r="D33" s="10" t="s">
        <v>50</v>
      </c>
    </row>
    <row r="34" spans="2:29" x14ac:dyDescent="0.35">
      <c r="B34" s="22" t="s">
        <v>137</v>
      </c>
      <c r="C34" s="117">
        <f>DATE(2026,9,25)</f>
        <v>46290</v>
      </c>
      <c r="D34" s="10" t="s">
        <v>138</v>
      </c>
    </row>
    <row r="35" spans="2:29" x14ac:dyDescent="0.35">
      <c r="B35" s="21" t="s">
        <v>51</v>
      </c>
      <c r="C35" s="29">
        <f>(DATE(2027,3,31)-C34)/365</f>
        <v>0.51232876712328768</v>
      </c>
      <c r="D35" s="10" t="s">
        <v>139</v>
      </c>
    </row>
    <row r="37" spans="2:29" ht="20" customHeight="1" x14ac:dyDescent="0.4">
      <c r="B37" s="4" t="s">
        <v>52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2:29" ht="13.15" x14ac:dyDescent="0.4">
      <c r="B38" s="5" t="s">
        <v>3</v>
      </c>
      <c r="C38" s="75" t="s">
        <v>53</v>
      </c>
      <c r="D38" s="67" t="s">
        <v>9</v>
      </c>
      <c r="E38" s="67" t="s">
        <v>10</v>
      </c>
      <c r="F38" s="67" t="s">
        <v>11</v>
      </c>
      <c r="G38" s="67" t="s">
        <v>12</v>
      </c>
      <c r="H38" s="67" t="s">
        <v>13</v>
      </c>
      <c r="I38" s="67" t="s">
        <v>14</v>
      </c>
      <c r="J38" s="67" t="s">
        <v>15</v>
      </c>
      <c r="K38" s="67" t="s">
        <v>16</v>
      </c>
      <c r="L38" s="67" t="s">
        <v>17</v>
      </c>
      <c r="M38" s="87" t="s">
        <v>18</v>
      </c>
      <c r="N38" s="68" t="s">
        <v>64</v>
      </c>
      <c r="O38" s="68" t="s">
        <v>66</v>
      </c>
      <c r="P38" s="68" t="s">
        <v>67</v>
      </c>
      <c r="Q38" s="68" t="s">
        <v>68</v>
      </c>
      <c r="R38" s="68" t="s">
        <v>69</v>
      </c>
      <c r="S38" s="68" t="s">
        <v>70</v>
      </c>
      <c r="T38" s="68" t="s">
        <v>71</v>
      </c>
      <c r="U38" s="68" t="s">
        <v>72</v>
      </c>
      <c r="V38" s="68" t="s">
        <v>73</v>
      </c>
      <c r="W38" s="68" t="s">
        <v>74</v>
      </c>
      <c r="X38" s="68" t="s">
        <v>75</v>
      </c>
      <c r="Y38" s="68" t="s">
        <v>76</v>
      </c>
      <c r="Z38" s="68" t="s">
        <v>77</v>
      </c>
      <c r="AA38" s="68" t="s">
        <v>78</v>
      </c>
      <c r="AB38" s="68" t="s">
        <v>79</v>
      </c>
      <c r="AC38" s="68" t="s">
        <v>80</v>
      </c>
    </row>
    <row r="39" spans="2:29" x14ac:dyDescent="0.35">
      <c r="B39" s="10" t="s">
        <v>54</v>
      </c>
      <c r="C39" s="10"/>
      <c r="D39" s="45" t="s">
        <v>63</v>
      </c>
      <c r="E39" s="45" t="s">
        <v>63</v>
      </c>
      <c r="F39" s="45" t="s">
        <v>63</v>
      </c>
      <c r="G39" s="45" t="s">
        <v>63</v>
      </c>
      <c r="H39" s="45" t="s">
        <v>63</v>
      </c>
      <c r="I39" s="45" t="s">
        <v>63</v>
      </c>
      <c r="J39" s="45" t="s">
        <v>63</v>
      </c>
      <c r="K39" s="45" t="s">
        <v>63</v>
      </c>
      <c r="L39" s="45" t="s">
        <v>63</v>
      </c>
      <c r="M39" s="88" t="s">
        <v>63</v>
      </c>
      <c r="N39" s="69" t="s">
        <v>65</v>
      </c>
      <c r="O39" s="69" t="s">
        <v>65</v>
      </c>
      <c r="P39" s="69" t="s">
        <v>65</v>
      </c>
      <c r="Q39" s="69" t="s">
        <v>65</v>
      </c>
      <c r="R39" s="69" t="s">
        <v>65</v>
      </c>
      <c r="S39" s="69" t="s">
        <v>65</v>
      </c>
      <c r="T39" s="69" t="s">
        <v>65</v>
      </c>
      <c r="U39" s="69" t="s">
        <v>65</v>
      </c>
      <c r="V39" s="69" t="s">
        <v>65</v>
      </c>
      <c r="W39" s="69" t="s">
        <v>65</v>
      </c>
      <c r="X39" s="69" t="s">
        <v>65</v>
      </c>
      <c r="Y39" s="69" t="s">
        <v>65</v>
      </c>
      <c r="Z39" s="69" t="s">
        <v>65</v>
      </c>
      <c r="AA39" s="69" t="s">
        <v>65</v>
      </c>
      <c r="AB39" s="69" t="s">
        <v>65</v>
      </c>
      <c r="AC39" s="69" t="s">
        <v>65</v>
      </c>
    </row>
    <row r="40" spans="2:29" x14ac:dyDescent="0.35">
      <c r="B40" s="70" t="s">
        <v>55</v>
      </c>
      <c r="C40" s="73"/>
      <c r="D40" s="71"/>
      <c r="E40" s="71"/>
      <c r="F40" s="71"/>
      <c r="G40" s="71"/>
      <c r="H40" s="71"/>
      <c r="I40" s="71"/>
      <c r="J40" s="71"/>
      <c r="K40" s="71"/>
      <c r="L40" s="71"/>
      <c r="M40" s="89"/>
      <c r="N40" s="72">
        <v>1</v>
      </c>
      <c r="O40" s="72">
        <f t="shared" ref="O40:AC40" si="0">N40+1</f>
        <v>2</v>
      </c>
      <c r="P40" s="72">
        <f t="shared" si="0"/>
        <v>3</v>
      </c>
      <c r="Q40" s="72">
        <f t="shared" si="0"/>
        <v>4</v>
      </c>
      <c r="R40" s="72">
        <f t="shared" si="0"/>
        <v>5</v>
      </c>
      <c r="S40" s="72">
        <f t="shared" si="0"/>
        <v>6</v>
      </c>
      <c r="T40" s="72">
        <f t="shared" si="0"/>
        <v>7</v>
      </c>
      <c r="U40" s="72">
        <f t="shared" si="0"/>
        <v>8</v>
      </c>
      <c r="V40" s="72">
        <f t="shared" si="0"/>
        <v>9</v>
      </c>
      <c r="W40" s="72">
        <f t="shared" si="0"/>
        <v>10</v>
      </c>
      <c r="X40" s="72">
        <f t="shared" si="0"/>
        <v>11</v>
      </c>
      <c r="Y40" s="72">
        <f t="shared" si="0"/>
        <v>12</v>
      </c>
      <c r="Z40" s="72">
        <f t="shared" si="0"/>
        <v>13</v>
      </c>
      <c r="AA40" s="72">
        <f t="shared" si="0"/>
        <v>14</v>
      </c>
      <c r="AB40" s="72">
        <f t="shared" si="0"/>
        <v>15</v>
      </c>
      <c r="AC40" s="72">
        <f t="shared" si="0"/>
        <v>16</v>
      </c>
    </row>
    <row r="41" spans="2:29" ht="13.15" x14ac:dyDescent="0.4">
      <c r="B41" s="37" t="s">
        <v>4</v>
      </c>
      <c r="C41" s="80" t="s">
        <v>59</v>
      </c>
      <c r="D41" s="81">
        <f>Data!C7/100</f>
        <v>133.821</v>
      </c>
      <c r="E41" s="81">
        <f>Data!C8/100</f>
        <v>161.56</v>
      </c>
      <c r="F41" s="81">
        <f>Data!C9/100</f>
        <v>197.785</v>
      </c>
      <c r="G41" s="81">
        <f>Data!C10/100</f>
        <v>210.51499999999999</v>
      </c>
      <c r="H41" s="81">
        <f>Data!C11/100</f>
        <v>216.44</v>
      </c>
      <c r="I41" s="81">
        <f>Data!C12/100</f>
        <v>287.99</v>
      </c>
      <c r="J41" s="81">
        <f>Data!C13/100</f>
        <v>405.75</v>
      </c>
      <c r="K41" s="81">
        <f>Data!C14/100</f>
        <v>510.84</v>
      </c>
      <c r="L41" s="81">
        <f>Data!C15/100</f>
        <v>604.55999999999995</v>
      </c>
      <c r="M41" s="90">
        <f>Data!C16/100</f>
        <v>875.84</v>
      </c>
      <c r="N41" s="82">
        <f t="shared" ref="N41:AC41" si="1">M41*(1+N42)</f>
        <v>1026.4285110860249</v>
      </c>
      <c r="O41" s="82">
        <f t="shared" si="1"/>
        <v>1207.1745610986927</v>
      </c>
      <c r="P41" s="82">
        <f t="shared" si="1"/>
        <v>1412.8550816390061</v>
      </c>
      <c r="Q41" s="82">
        <f t="shared" si="1"/>
        <v>1651.1799976889013</v>
      </c>
      <c r="R41" s="82">
        <f t="shared" si="1"/>
        <v>1921.8977403984352</v>
      </c>
      <c r="S41" s="82">
        <f t="shared" si="1"/>
        <v>2223.1469182652531</v>
      </c>
      <c r="T41" s="82">
        <f t="shared" si="1"/>
        <v>2551.3031779742937</v>
      </c>
      <c r="U41" s="82">
        <f t="shared" si="1"/>
        <v>2901.0733195613188</v>
      </c>
      <c r="V41" s="82">
        <f t="shared" si="1"/>
        <v>3265.8950680915164</v>
      </c>
      <c r="W41" s="82">
        <f t="shared" si="1"/>
        <v>3638.6576031520667</v>
      </c>
      <c r="X41" s="82">
        <f t="shared" si="1"/>
        <v>4012.7017835273391</v>
      </c>
      <c r="Y41" s="82">
        <f t="shared" si="1"/>
        <v>4383.0063641256111</v>
      </c>
      <c r="Z41" s="82">
        <f t="shared" si="1"/>
        <v>4747.4371918144789</v>
      </c>
      <c r="AA41" s="82">
        <f t="shared" si="1"/>
        <v>5107.9475673205443</v>
      </c>
      <c r="AB41" s="82">
        <f t="shared" si="1"/>
        <v>5471.678384982346</v>
      </c>
      <c r="AC41" s="82">
        <f t="shared" si="1"/>
        <v>5852.0147495224683</v>
      </c>
    </row>
    <row r="42" spans="2:29" x14ac:dyDescent="0.35">
      <c r="B42" s="79" t="s">
        <v>7</v>
      </c>
      <c r="C42" s="10" t="s">
        <v>58</v>
      </c>
      <c r="D42" s="76"/>
      <c r="E42" s="76">
        <f t="shared" ref="E42:M42" si="2">IF(D41=0,0,E41/D41-1)</f>
        <v>0.20728435746258067</v>
      </c>
      <c r="F42" s="76">
        <f t="shared" si="2"/>
        <v>0.22422010398613512</v>
      </c>
      <c r="G42" s="76">
        <f t="shared" si="2"/>
        <v>6.4362818211694428E-2</v>
      </c>
      <c r="H42" s="76">
        <f t="shared" si="2"/>
        <v>2.8145262807875993E-2</v>
      </c>
      <c r="I42" s="76">
        <f t="shared" si="2"/>
        <v>0.33057660321567184</v>
      </c>
      <c r="J42" s="76">
        <f t="shared" si="2"/>
        <v>0.40890308691273991</v>
      </c>
      <c r="K42" s="76">
        <f t="shared" si="2"/>
        <v>0.25900184842883545</v>
      </c>
      <c r="L42" s="76">
        <f t="shared" si="2"/>
        <v>0.18346253229974163</v>
      </c>
      <c r="M42" s="91">
        <f t="shared" si="2"/>
        <v>0.448723038242689</v>
      </c>
      <c r="N42" s="76">
        <f t="shared" ref="N42:AC42" si="3">IF(GrowthMode="Constant CAGR",ConstGrowth,N43)</f>
        <v>0.17193609687388656</v>
      </c>
      <c r="O42" s="76">
        <f t="shared" si="3"/>
        <v>0.17609219547246149</v>
      </c>
      <c r="P42" s="76">
        <f t="shared" si="3"/>
        <v>0.17038175518966889</v>
      </c>
      <c r="Q42" s="76">
        <f t="shared" si="3"/>
        <v>0.16868319981793356</v>
      </c>
      <c r="R42" s="76">
        <f t="shared" si="3"/>
        <v>0.16395410741920802</v>
      </c>
      <c r="S42" s="76">
        <f t="shared" si="3"/>
        <v>0.15674568502503414</v>
      </c>
      <c r="T42" s="76">
        <f t="shared" si="3"/>
        <v>0.14760889485662268</v>
      </c>
      <c r="U42" s="76">
        <f t="shared" si="3"/>
        <v>0.13709469913518435</v>
      </c>
      <c r="V42" s="76">
        <f t="shared" si="3"/>
        <v>0.12575406008192991</v>
      </c>
      <c r="W42" s="76">
        <f t="shared" si="3"/>
        <v>0.11413793991807009</v>
      </c>
      <c r="X42" s="76">
        <f t="shared" si="3"/>
        <v>0.10279730086481566</v>
      </c>
      <c r="Y42" s="76">
        <f t="shared" si="3"/>
        <v>9.2283105143377356E-2</v>
      </c>
      <c r="Z42" s="76">
        <f t="shared" si="3"/>
        <v>8.3146314974965857E-2</v>
      </c>
      <c r="AA42" s="76">
        <f t="shared" si="3"/>
        <v>7.5937892580792032E-2</v>
      </c>
      <c r="AB42" s="76">
        <f t="shared" si="3"/>
        <v>7.1208800182066476E-2</v>
      </c>
      <c r="AC42" s="76">
        <f t="shared" si="3"/>
        <v>6.9510000000000002E-2</v>
      </c>
    </row>
    <row r="43" spans="2:29" x14ac:dyDescent="0.35">
      <c r="B43" s="79" t="s">
        <v>56</v>
      </c>
      <c r="C43" s="10" t="s">
        <v>57</v>
      </c>
      <c r="M43" s="92"/>
      <c r="N43" s="16">
        <v>0.17193609687388656</v>
      </c>
      <c r="O43" s="16">
        <v>0.17609219547246149</v>
      </c>
      <c r="P43" s="16">
        <v>0.17038175518966889</v>
      </c>
      <c r="Q43" s="16">
        <v>0.16868319981793356</v>
      </c>
      <c r="R43" s="16">
        <v>0.16395410741920802</v>
      </c>
      <c r="S43" s="16">
        <v>0.15674568502503414</v>
      </c>
      <c r="T43" s="16">
        <v>0.14760889485662268</v>
      </c>
      <c r="U43" s="16">
        <v>0.13709469913518435</v>
      </c>
      <c r="V43" s="16">
        <v>0.12575406008192991</v>
      </c>
      <c r="W43" s="16">
        <v>0.11413793991807009</v>
      </c>
      <c r="X43" s="16">
        <v>0.10279730086481566</v>
      </c>
      <c r="Y43" s="16">
        <v>9.2283105143377356E-2</v>
      </c>
      <c r="Z43" s="16">
        <v>8.3146314974965857E-2</v>
      </c>
      <c r="AA43" s="16">
        <v>7.5937892580792032E-2</v>
      </c>
      <c r="AB43" s="16">
        <v>7.1208800182066476E-2</v>
      </c>
      <c r="AC43" s="16">
        <v>6.9510000000000002E-2</v>
      </c>
    </row>
    <row r="44" spans="2:29" x14ac:dyDescent="0.35">
      <c r="B44" s="19" t="s">
        <v>6</v>
      </c>
      <c r="C44" s="10" t="s">
        <v>58</v>
      </c>
      <c r="D44" s="77">
        <f t="shared" ref="D44:M44" si="4">IF(D41=0,0,D46/D41)</f>
        <v>5.3168037901375718E-2</v>
      </c>
      <c r="E44" s="77">
        <f t="shared" si="4"/>
        <v>6.9949244862589743E-2</v>
      </c>
      <c r="F44" s="77">
        <f t="shared" si="4"/>
        <v>7.0996283843567515E-2</v>
      </c>
      <c r="G44" s="77">
        <f t="shared" si="4"/>
        <v>7.1320333467923908E-2</v>
      </c>
      <c r="H44" s="77">
        <f t="shared" si="4"/>
        <v>4.495472186287193E-2</v>
      </c>
      <c r="I44" s="77">
        <f t="shared" si="4"/>
        <v>7.5454008819750687E-2</v>
      </c>
      <c r="J44" s="77">
        <f t="shared" si="4"/>
        <v>8.0098582871226121E-2</v>
      </c>
      <c r="K44" s="77">
        <f t="shared" si="4"/>
        <v>6.8436300994440535E-2</v>
      </c>
      <c r="L44" s="77">
        <f t="shared" si="4"/>
        <v>5.5197168188434564E-2</v>
      </c>
      <c r="M44" s="93">
        <f t="shared" si="4"/>
        <v>5.7921538180489583E-2</v>
      </c>
      <c r="N44" s="77">
        <f t="shared" ref="N44:AC44" si="5">MarginStart+(MarginEnd-MarginStart)*N45</f>
        <v>6.7096352844238288E-2</v>
      </c>
      <c r="O44" s="77">
        <f t="shared" si="5"/>
        <v>6.7070148925781253E-2</v>
      </c>
      <c r="P44" s="77">
        <f t="shared" si="5"/>
        <v>6.7029432067871098E-2</v>
      </c>
      <c r="Q44" s="77">
        <f t="shared" si="5"/>
        <v>6.6976621093750008E-2</v>
      </c>
      <c r="R44" s="77">
        <f t="shared" si="5"/>
        <v>6.6914134826660157E-2</v>
      </c>
      <c r="S44" s="77">
        <f t="shared" si="5"/>
        <v>6.684439208984376E-2</v>
      </c>
      <c r="T44" s="77">
        <f t="shared" si="5"/>
        <v>6.6769811706542975E-2</v>
      </c>
      <c r="U44" s="77">
        <f t="shared" si="5"/>
        <v>6.6692812500000004E-2</v>
      </c>
      <c r="V44" s="77">
        <f t="shared" si="5"/>
        <v>6.6615813293457032E-2</v>
      </c>
      <c r="W44" s="77">
        <f t="shared" si="5"/>
        <v>6.6541232910156248E-2</v>
      </c>
      <c r="X44" s="77">
        <f t="shared" si="5"/>
        <v>6.6471490173339851E-2</v>
      </c>
      <c r="Y44" s="77">
        <f t="shared" si="5"/>
        <v>6.640900390625E-2</v>
      </c>
      <c r="Z44" s="77">
        <f t="shared" si="5"/>
        <v>6.635619293212891E-2</v>
      </c>
      <c r="AA44" s="77">
        <f t="shared" si="5"/>
        <v>6.6315476074218754E-2</v>
      </c>
      <c r="AB44" s="77">
        <f t="shared" si="5"/>
        <v>6.6289272155761719E-2</v>
      </c>
      <c r="AC44" s="77">
        <f t="shared" si="5"/>
        <v>6.6280000000000006E-2</v>
      </c>
    </row>
    <row r="45" spans="2:29" x14ac:dyDescent="0.35">
      <c r="B45" s="79" t="s">
        <v>61</v>
      </c>
      <c r="C45" s="10" t="s">
        <v>62</v>
      </c>
      <c r="M45" s="92"/>
      <c r="N45" s="78">
        <f t="shared" ref="N45:AC45" si="6">3*(N$40/$AC$40)^2-2*(N$40/$AC$40)^3</f>
        <v>1.123046875E-2</v>
      </c>
      <c r="O45" s="78">
        <f t="shared" si="6"/>
        <v>4.296875E-2</v>
      </c>
      <c r="P45" s="78">
        <f t="shared" si="6"/>
        <v>9.228515625E-2</v>
      </c>
      <c r="Q45" s="78">
        <f t="shared" si="6"/>
        <v>0.15625</v>
      </c>
      <c r="R45" s="78">
        <f t="shared" si="6"/>
        <v>0.23193359375</v>
      </c>
      <c r="S45" s="78">
        <f t="shared" si="6"/>
        <v>0.31640625</v>
      </c>
      <c r="T45" s="78">
        <f t="shared" si="6"/>
        <v>0.40673828125</v>
      </c>
      <c r="U45" s="78">
        <f t="shared" si="6"/>
        <v>0.5</v>
      </c>
      <c r="V45" s="78">
        <f t="shared" si="6"/>
        <v>0.59326171875</v>
      </c>
      <c r="W45" s="78">
        <f t="shared" si="6"/>
        <v>0.68359375</v>
      </c>
      <c r="X45" s="78">
        <f t="shared" si="6"/>
        <v>0.76806640625</v>
      </c>
      <c r="Y45" s="78">
        <f t="shared" si="6"/>
        <v>0.84375</v>
      </c>
      <c r="Z45" s="78">
        <f t="shared" si="6"/>
        <v>0.90771484375</v>
      </c>
      <c r="AA45" s="78">
        <f t="shared" si="6"/>
        <v>0.95703125</v>
      </c>
      <c r="AB45" s="78">
        <f t="shared" si="6"/>
        <v>0.98876953125</v>
      </c>
      <c r="AC45" s="78">
        <f t="shared" si="6"/>
        <v>1</v>
      </c>
    </row>
    <row r="46" spans="2:29" ht="13.15" x14ac:dyDescent="0.4">
      <c r="B46" s="37" t="s">
        <v>5</v>
      </c>
      <c r="C46" s="80" t="s">
        <v>59</v>
      </c>
      <c r="D46" s="81">
        <f>Data!D7/100</f>
        <v>7.1150000000000002</v>
      </c>
      <c r="E46" s="81">
        <f>Data!D8/100</f>
        <v>11.300999999999998</v>
      </c>
      <c r="F46" s="81">
        <f>Data!D9/100</f>
        <v>14.042</v>
      </c>
      <c r="G46" s="81">
        <f>Data!D10/100</f>
        <v>15.014000000000001</v>
      </c>
      <c r="H46" s="81">
        <f>Data!D11/100</f>
        <v>9.73</v>
      </c>
      <c r="I46" s="81">
        <f>Data!D12/100</f>
        <v>21.73</v>
      </c>
      <c r="J46" s="81">
        <f>Data!D13/100</f>
        <v>32.5</v>
      </c>
      <c r="K46" s="81">
        <f>Data!D14/100</f>
        <v>34.96</v>
      </c>
      <c r="L46" s="81">
        <f>Data!D15/100</f>
        <v>33.369999999999997</v>
      </c>
      <c r="M46" s="90">
        <f>Data!D16/100</f>
        <v>50.73</v>
      </c>
      <c r="N46" s="82">
        <f t="shared" ref="N46:AC46" si="7">N41*N44</f>
        <v>68.869609549214076</v>
      </c>
      <c r="O46" s="82">
        <f t="shared" si="7"/>
        <v>80.965377592303938</v>
      </c>
      <c r="P46" s="82">
        <f t="shared" si="7"/>
        <v>94.702873716468233</v>
      </c>
      <c r="Q46" s="82">
        <f t="shared" si="7"/>
        <v>110.59045706278856</v>
      </c>
      <c r="R46" s="82">
        <f t="shared" si="7"/>
        <v>128.60212452407438</v>
      </c>
      <c r="S46" s="82">
        <f t="shared" si="7"/>
        <v>148.60490427785041</v>
      </c>
      <c r="T46" s="82">
        <f t="shared" si="7"/>
        <v>170.35003279964829</v>
      </c>
      <c r="U46" s="82">
        <f t="shared" si="7"/>
        <v>193.48073895025564</v>
      </c>
      <c r="V46" s="82">
        <f t="shared" si="7"/>
        <v>217.5602560920066</v>
      </c>
      <c r="W46" s="82">
        <f t="shared" si="7"/>
        <v>242.12076305165255</v>
      </c>
      <c r="X46" s="82">
        <f t="shared" si="7"/>
        <v>266.73026717228083</v>
      </c>
      <c r="Y46" s="82">
        <f t="shared" si="7"/>
        <v>291.07108675633634</v>
      </c>
      <c r="Z46" s="82">
        <f t="shared" si="7"/>
        <v>315.02185823320582</v>
      </c>
      <c r="AA46" s="82">
        <f t="shared" si="7"/>
        <v>338.73597468900942</v>
      </c>
      <c r="AB46" s="82">
        <f t="shared" si="7"/>
        <v>362.71357761089348</v>
      </c>
      <c r="AC46" s="82">
        <f t="shared" si="7"/>
        <v>387.87153759834922</v>
      </c>
    </row>
    <row r="47" spans="2:29" x14ac:dyDescent="0.35">
      <c r="B47" s="79" t="s">
        <v>60</v>
      </c>
      <c r="C47" s="10" t="s">
        <v>58</v>
      </c>
      <c r="D47" s="76"/>
      <c r="E47" s="76">
        <f t="shared" ref="E47:AC47" si="8">IF(D46=0,0,E46/D46-1)</f>
        <v>0.58833450456781411</v>
      </c>
      <c r="F47" s="76">
        <f t="shared" si="8"/>
        <v>0.24254490753030722</v>
      </c>
      <c r="G47" s="76">
        <f t="shared" si="8"/>
        <v>6.9220908702464223E-2</v>
      </c>
      <c r="H47" s="76">
        <f t="shared" si="8"/>
        <v>-0.35193819102171309</v>
      </c>
      <c r="I47" s="76">
        <f t="shared" si="8"/>
        <v>1.2332990750256938</v>
      </c>
      <c r="J47" s="76">
        <f t="shared" si="8"/>
        <v>0.49562816382880803</v>
      </c>
      <c r="K47" s="76">
        <f t="shared" si="8"/>
        <v>7.5692307692307725E-2</v>
      </c>
      <c r="L47" s="76">
        <f t="shared" si="8"/>
        <v>-4.548054919908473E-2</v>
      </c>
      <c r="M47" s="91">
        <f t="shared" si="8"/>
        <v>0.52022774947557693</v>
      </c>
      <c r="N47" s="76">
        <f t="shared" si="8"/>
        <v>0.3575716449677524</v>
      </c>
      <c r="O47" s="76">
        <f t="shared" si="8"/>
        <v>0.17563288251904852</v>
      </c>
      <c r="P47" s="76">
        <f t="shared" si="8"/>
        <v>0.16967124137107836</v>
      </c>
      <c r="Q47" s="76">
        <f t="shared" si="8"/>
        <v>0.16776242074645276</v>
      </c>
      <c r="R47" s="76">
        <f t="shared" si="8"/>
        <v>0.16286818898903332</v>
      </c>
      <c r="S47" s="76">
        <f t="shared" si="8"/>
        <v>0.15554004125360699</v>
      </c>
      <c r="T47" s="76">
        <f t="shared" si="8"/>
        <v>0.14632847164411511</v>
      </c>
      <c r="U47" s="76">
        <f t="shared" si="8"/>
        <v>0.13578339710572163</v>
      </c>
      <c r="V47" s="76">
        <f t="shared" si="8"/>
        <v>0.12445433727613509</v>
      </c>
      <c r="W47" s="76">
        <f t="shared" si="8"/>
        <v>0.11289059592418971</v>
      </c>
      <c r="X47" s="76">
        <f t="shared" si="8"/>
        <v>0.1016414445851479</v>
      </c>
      <c r="Y47" s="76">
        <f t="shared" si="8"/>
        <v>9.1256308637571282E-2</v>
      </c>
      <c r="Z47" s="76">
        <f t="shared" si="8"/>
        <v>8.2284955691663386E-2</v>
      </c>
      <c r="AA47" s="76">
        <f t="shared" si="8"/>
        <v>7.5277685773310399E-2</v>
      </c>
      <c r="AB47" s="76">
        <f t="shared" si="8"/>
        <v>7.0785522393650879E-2</v>
      </c>
      <c r="AC47" s="76">
        <f t="shared" si="8"/>
        <v>6.9360403195174447E-2</v>
      </c>
    </row>
    <row r="48" spans="2:29" x14ac:dyDescent="0.35">
      <c r="C48" s="10"/>
      <c r="M48" s="92"/>
    </row>
    <row r="49" spans="2:29" ht="20" customHeight="1" x14ac:dyDescent="0.4">
      <c r="B49" s="4" t="s">
        <v>81</v>
      </c>
      <c r="C49" s="74"/>
      <c r="D49" s="4"/>
      <c r="E49" s="4"/>
      <c r="F49" s="4"/>
      <c r="G49" s="4"/>
      <c r="H49" s="4"/>
      <c r="I49" s="4"/>
      <c r="J49" s="4"/>
      <c r="K49" s="4"/>
      <c r="L49" s="4"/>
      <c r="M49" s="9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2:29" x14ac:dyDescent="0.35">
      <c r="B50" s="19" t="s">
        <v>88</v>
      </c>
      <c r="C50" s="10" t="s">
        <v>89</v>
      </c>
      <c r="M50" s="92"/>
      <c r="N50" s="18">
        <f t="shared" ref="N50:AC50" si="9">IF(N$40=1,StubFraction,1)</f>
        <v>0.51232876712328768</v>
      </c>
      <c r="O50" s="18">
        <f t="shared" si="9"/>
        <v>1</v>
      </c>
      <c r="P50" s="18">
        <f t="shared" si="9"/>
        <v>1</v>
      </c>
      <c r="Q50" s="18">
        <f t="shared" si="9"/>
        <v>1</v>
      </c>
      <c r="R50" s="18">
        <f t="shared" si="9"/>
        <v>1</v>
      </c>
      <c r="S50" s="18">
        <f t="shared" si="9"/>
        <v>1</v>
      </c>
      <c r="T50" s="18">
        <f t="shared" si="9"/>
        <v>1</v>
      </c>
      <c r="U50" s="18">
        <f t="shared" si="9"/>
        <v>1</v>
      </c>
      <c r="V50" s="18">
        <f t="shared" si="9"/>
        <v>1</v>
      </c>
      <c r="W50" s="18">
        <f t="shared" si="9"/>
        <v>1</v>
      </c>
      <c r="X50" s="18">
        <f t="shared" si="9"/>
        <v>1</v>
      </c>
      <c r="Y50" s="18">
        <f t="shared" si="9"/>
        <v>1</v>
      </c>
      <c r="Z50" s="18">
        <f t="shared" si="9"/>
        <v>1</v>
      </c>
      <c r="AA50" s="18">
        <f t="shared" si="9"/>
        <v>1</v>
      </c>
      <c r="AB50" s="18">
        <f t="shared" si="9"/>
        <v>1</v>
      </c>
      <c r="AC50" s="18">
        <f t="shared" si="9"/>
        <v>1</v>
      </c>
    </row>
    <row r="51" spans="2:29" x14ac:dyDescent="0.35">
      <c r="B51" s="19" t="s">
        <v>87</v>
      </c>
      <c r="C51" s="10" t="s">
        <v>59</v>
      </c>
      <c r="M51" s="92"/>
      <c r="N51" s="17">
        <f t="shared" ref="N51:AC51" si="10">N46*N50</f>
        <v>35.283882152611049</v>
      </c>
      <c r="O51" s="17">
        <f t="shared" si="10"/>
        <v>80.965377592303938</v>
      </c>
      <c r="P51" s="17">
        <f t="shared" si="10"/>
        <v>94.702873716468233</v>
      </c>
      <c r="Q51" s="17">
        <f t="shared" si="10"/>
        <v>110.59045706278856</v>
      </c>
      <c r="R51" s="17">
        <f t="shared" si="10"/>
        <v>128.60212452407438</v>
      </c>
      <c r="S51" s="17">
        <f t="shared" si="10"/>
        <v>148.60490427785041</v>
      </c>
      <c r="T51" s="17">
        <f t="shared" si="10"/>
        <v>170.35003279964829</v>
      </c>
      <c r="U51" s="17">
        <f t="shared" si="10"/>
        <v>193.48073895025564</v>
      </c>
      <c r="V51" s="17">
        <f t="shared" si="10"/>
        <v>217.5602560920066</v>
      </c>
      <c r="W51" s="17">
        <f t="shared" si="10"/>
        <v>242.12076305165255</v>
      </c>
      <c r="X51" s="17">
        <f t="shared" si="10"/>
        <v>266.73026717228083</v>
      </c>
      <c r="Y51" s="17">
        <f t="shared" si="10"/>
        <v>291.07108675633634</v>
      </c>
      <c r="Z51" s="17">
        <f t="shared" si="10"/>
        <v>315.02185823320582</v>
      </c>
      <c r="AA51" s="17">
        <f t="shared" si="10"/>
        <v>338.73597468900942</v>
      </c>
      <c r="AB51" s="17">
        <f t="shared" si="10"/>
        <v>362.71357761089348</v>
      </c>
      <c r="AC51" s="17">
        <f t="shared" si="10"/>
        <v>387.87153759834922</v>
      </c>
    </row>
    <row r="52" spans="2:29" x14ac:dyDescent="0.35">
      <c r="B52" s="19" t="s">
        <v>85</v>
      </c>
      <c r="C52" s="10" t="s">
        <v>86</v>
      </c>
      <c r="M52" s="92"/>
      <c r="N52" s="18">
        <f t="shared" ref="N52:AC52" si="11">StubFraction+N$40-1</f>
        <v>0.51232876712328768</v>
      </c>
      <c r="O52" s="18">
        <f t="shared" si="11"/>
        <v>1.5123287671232877</v>
      </c>
      <c r="P52" s="18">
        <f t="shared" si="11"/>
        <v>2.5123287671232877</v>
      </c>
      <c r="Q52" s="18">
        <f t="shared" si="11"/>
        <v>3.5123287671232877</v>
      </c>
      <c r="R52" s="18">
        <f t="shared" si="11"/>
        <v>4.5123287671232877</v>
      </c>
      <c r="S52" s="18">
        <f t="shared" si="11"/>
        <v>5.5123287671232877</v>
      </c>
      <c r="T52" s="18">
        <f t="shared" si="11"/>
        <v>6.5123287671232877</v>
      </c>
      <c r="U52" s="18">
        <f t="shared" si="11"/>
        <v>7.5123287671232877</v>
      </c>
      <c r="V52" s="18">
        <f t="shared" si="11"/>
        <v>8.5123287671232877</v>
      </c>
      <c r="W52" s="18">
        <f t="shared" si="11"/>
        <v>9.5123287671232877</v>
      </c>
      <c r="X52" s="18">
        <f t="shared" si="11"/>
        <v>10.512328767123288</v>
      </c>
      <c r="Y52" s="18">
        <f t="shared" si="11"/>
        <v>11.512328767123288</v>
      </c>
      <c r="Z52" s="18">
        <f t="shared" si="11"/>
        <v>12.512328767123288</v>
      </c>
      <c r="AA52" s="18">
        <f t="shared" si="11"/>
        <v>13.512328767123288</v>
      </c>
      <c r="AB52" s="18">
        <f t="shared" si="11"/>
        <v>14.512328767123288</v>
      </c>
      <c r="AC52" s="18">
        <f t="shared" si="11"/>
        <v>15.512328767123286</v>
      </c>
    </row>
    <row r="53" spans="2:29" x14ac:dyDescent="0.35">
      <c r="B53" s="19" t="s">
        <v>83</v>
      </c>
      <c r="C53" s="10" t="s">
        <v>84</v>
      </c>
      <c r="M53" s="92"/>
      <c r="N53" s="30">
        <f t="shared" ref="N53:AC53" si="12">1/(1+DiscountRate)^N52</f>
        <v>0.95119168338098337</v>
      </c>
      <c r="O53" s="30">
        <f t="shared" si="12"/>
        <v>0.86268064881279105</v>
      </c>
      <c r="P53" s="30">
        <f t="shared" si="12"/>
        <v>0.78240581245491658</v>
      </c>
      <c r="Q53" s="30">
        <f t="shared" si="12"/>
        <v>0.70960077313161307</v>
      </c>
      <c r="R53" s="30">
        <f t="shared" si="12"/>
        <v>0.64357044543044895</v>
      </c>
      <c r="S53" s="30">
        <f t="shared" si="12"/>
        <v>0.58368442357196537</v>
      </c>
      <c r="T53" s="30">
        <f t="shared" si="12"/>
        <v>0.52937096278973816</v>
      </c>
      <c r="U53" s="30">
        <f t="shared" si="12"/>
        <v>0.48011152075978436</v>
      </c>
      <c r="V53" s="30">
        <f t="shared" si="12"/>
        <v>0.43543580696515899</v>
      </c>
      <c r="W53" s="30">
        <f t="shared" si="12"/>
        <v>0.39491729273096227</v>
      </c>
      <c r="X53" s="30">
        <f t="shared" si="12"/>
        <v>0.35816913906308934</v>
      </c>
      <c r="Y53" s="30">
        <f t="shared" si="12"/>
        <v>0.32484050341292336</v>
      </c>
      <c r="Z53" s="30">
        <f t="shared" si="12"/>
        <v>0.29461319010785719</v>
      </c>
      <c r="AA53" s="30">
        <f t="shared" si="12"/>
        <v>0.26719861246858079</v>
      </c>
      <c r="AB53" s="30">
        <f t="shared" si="12"/>
        <v>0.24233503760981387</v>
      </c>
      <c r="AC53" s="30">
        <f t="shared" si="12"/>
        <v>0.21978508762000171</v>
      </c>
    </row>
    <row r="54" spans="2:29" ht="13.15" x14ac:dyDescent="0.4">
      <c r="B54" s="83" t="s">
        <v>82</v>
      </c>
      <c r="C54" s="84" t="s">
        <v>59</v>
      </c>
      <c r="D54" s="85"/>
      <c r="E54" s="85"/>
      <c r="F54" s="85"/>
      <c r="G54" s="85"/>
      <c r="H54" s="85"/>
      <c r="I54" s="85"/>
      <c r="J54" s="85"/>
      <c r="K54" s="85"/>
      <c r="L54" s="85"/>
      <c r="M54" s="95"/>
      <c r="N54" s="86">
        <f t="shared" ref="N54:AC54" si="13">N51*N53</f>
        <v>33.561735260958336</v>
      </c>
      <c r="O54" s="86">
        <f t="shared" si="13"/>
        <v>69.847264472701369</v>
      </c>
      <c r="P54" s="86">
        <f t="shared" si="13"/>
        <v>74.09607885194869</v>
      </c>
      <c r="Q54" s="86">
        <f t="shared" si="13"/>
        <v>78.475073832733216</v>
      </c>
      <c r="R54" s="86">
        <f t="shared" si="13"/>
        <v>82.764526563260617</v>
      </c>
      <c r="S54" s="86">
        <f t="shared" si="13"/>
        <v>86.738367893384208</v>
      </c>
      <c r="T54" s="86">
        <f t="shared" si="13"/>
        <v>90.178360874413286</v>
      </c>
      <c r="U54" s="86">
        <f t="shared" si="13"/>
        <v>92.892331815134085</v>
      </c>
      <c r="V54" s="86">
        <f t="shared" si="13"/>
        <v>94.733525674969542</v>
      </c>
      <c r="W54" s="86">
        <f t="shared" si="13"/>
        <v>95.617676258313423</v>
      </c>
      <c r="X54" s="86">
        <f t="shared" si="13"/>
        <v>95.534550155163629</v>
      </c>
      <c r="Y54" s="86">
        <f t="shared" si="13"/>
        <v>94.551678350874994</v>
      </c>
      <c r="Z54" s="86">
        <f t="shared" si="13"/>
        <v>92.809594607789904</v>
      </c>
      <c r="AA54" s="86">
        <f t="shared" si="13"/>
        <v>90.509782430095626</v>
      </c>
      <c r="AB54" s="86">
        <f t="shared" si="13"/>
        <v>87.898208471926011</v>
      </c>
      <c r="AC54" s="86">
        <f t="shared" si="13"/>
        <v>85.248379876357973</v>
      </c>
    </row>
    <row r="56" spans="2:29" ht="20" customHeight="1" x14ac:dyDescent="0.4">
      <c r="B56" s="4" t="s">
        <v>90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2:29" x14ac:dyDescent="0.35">
      <c r="B57" s="19" t="s">
        <v>91</v>
      </c>
      <c r="C57" s="31">
        <f>SUM(N54:AC54)</f>
        <v>1345.4571353900249</v>
      </c>
    </row>
    <row r="58" spans="2:29" x14ac:dyDescent="0.35">
      <c r="B58" s="22" t="s">
        <v>92</v>
      </c>
      <c r="C58" s="32">
        <f>AC46</f>
        <v>387.87153759834922</v>
      </c>
    </row>
    <row r="59" spans="2:29" x14ac:dyDescent="0.35">
      <c r="B59" s="22" t="s">
        <v>93</v>
      </c>
      <c r="C59" s="33">
        <f>ExitMultiple</f>
        <v>26.522647545314999</v>
      </c>
    </row>
    <row r="60" spans="2:29" x14ac:dyDescent="0.35">
      <c r="B60" s="22" t="s">
        <v>94</v>
      </c>
      <c r="C60" s="32">
        <f>C58*C59</f>
        <v>10287.380084580411</v>
      </c>
    </row>
    <row r="61" spans="2:29" x14ac:dyDescent="0.35">
      <c r="B61" s="22" t="s">
        <v>95</v>
      </c>
      <c r="C61" s="34">
        <f>AC53</f>
        <v>0.21978508762000171</v>
      </c>
    </row>
    <row r="62" spans="2:29" x14ac:dyDescent="0.35">
      <c r="B62" s="22" t="s">
        <v>96</v>
      </c>
      <c r="C62" s="32">
        <f>C60*C61</f>
        <v>2261.0127332697662</v>
      </c>
    </row>
    <row r="63" spans="2:29" x14ac:dyDescent="0.35">
      <c r="B63" s="22" t="s">
        <v>49</v>
      </c>
      <c r="C63" s="32">
        <f>NetAdj</f>
        <v>0</v>
      </c>
    </row>
    <row r="64" spans="2:29" ht="13.15" x14ac:dyDescent="0.4">
      <c r="B64" s="39" t="s">
        <v>97</v>
      </c>
      <c r="C64" s="40">
        <f>C57+C62+C63</f>
        <v>3606.4698686597912</v>
      </c>
    </row>
    <row r="65" spans="2:29" x14ac:dyDescent="0.35">
      <c r="B65" s="19" t="s">
        <v>98</v>
      </c>
      <c r="C65" s="38">
        <f>Shares</f>
        <v>890</v>
      </c>
    </row>
    <row r="66" spans="2:29" ht="13.9" x14ac:dyDescent="0.4">
      <c r="B66" s="39" t="s">
        <v>99</v>
      </c>
      <c r="C66" s="42">
        <f>IF(C65=0,0,C64/C65*1000)</f>
        <v>4052.2133355727988</v>
      </c>
    </row>
    <row r="67" spans="2:29" x14ac:dyDescent="0.35">
      <c r="B67" s="19" t="s">
        <v>33</v>
      </c>
      <c r="C67" s="41">
        <f>Price</f>
        <v>4884</v>
      </c>
    </row>
    <row r="68" spans="2:29" x14ac:dyDescent="0.35">
      <c r="B68" s="22" t="s">
        <v>100</v>
      </c>
      <c r="C68" s="35">
        <f>IF(C67=0,0,C66/C67-1)</f>
        <v>-0.17030848984995928</v>
      </c>
    </row>
    <row r="69" spans="2:29" ht="13.15" x14ac:dyDescent="0.4">
      <c r="B69" s="22" t="s">
        <v>101</v>
      </c>
      <c r="C69" s="115" t="str">
        <f>IF(C66&lt;C67,"Overvaluation","Undervaluation")&amp;" "&amp;TEXT(ABS(C68),"0%")</f>
        <v>Overvaluation 17%</v>
      </c>
    </row>
    <row r="70" spans="2:29" x14ac:dyDescent="0.35">
      <c r="B70" s="21" t="s">
        <v>102</v>
      </c>
      <c r="C70" s="36">
        <f>IF(C64=0,0,C62/C64)</f>
        <v>0.62693237864482321</v>
      </c>
    </row>
    <row r="74" spans="2:29" ht="20" customHeight="1" x14ac:dyDescent="0.4">
      <c r="B74" s="4" t="s">
        <v>103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2:29" ht="13.15" x14ac:dyDescent="0.4">
      <c r="B75" s="1" t="s">
        <v>104</v>
      </c>
      <c r="J75" s="45" t="s">
        <v>106</v>
      </c>
      <c r="K75" s="16">
        <v>5.0000000000000001E-3</v>
      </c>
    </row>
    <row r="76" spans="2:29" ht="13.15" x14ac:dyDescent="0.4">
      <c r="C76" s="48" t="s">
        <v>110</v>
      </c>
      <c r="D76" s="49">
        <f>ExitMultiple+(-2)*$K$76</f>
        <v>20.522647545314999</v>
      </c>
      <c r="E76" s="49">
        <f>ExitMultiple+(-1)*$K$76</f>
        <v>23.522647545314999</v>
      </c>
      <c r="F76" s="49">
        <f>ExitMultiple+(0)*$K$76</f>
        <v>26.522647545314999</v>
      </c>
      <c r="G76" s="49">
        <f>ExitMultiple+(1)*$K$76</f>
        <v>29.522647545314999</v>
      </c>
      <c r="H76" s="52">
        <f>ExitMultiple+(2)*$K$76</f>
        <v>32.522647545314996</v>
      </c>
      <c r="J76" s="45" t="s">
        <v>107</v>
      </c>
      <c r="K76" s="43">
        <v>3</v>
      </c>
    </row>
    <row r="77" spans="2:29" ht="13.15" x14ac:dyDescent="0.4">
      <c r="C77" s="47">
        <f>DiscountRate+(-2)*$K$75</f>
        <v>9.2600000000000002E-2</v>
      </c>
      <c r="D77" s="46">
        <f t="shared" ref="D77:H81" si="14">IF(Shares=0,0,(SUMPRODUCT($N$51:$AC$51/(1+$C77)^$N$52:$AC$52)+$C$58*D$76/(1+$C77)^$AC$52+NetAdj)/Shares*1000)</f>
        <v>3899.7511561080255</v>
      </c>
      <c r="E77" s="46">
        <f t="shared" si="14"/>
        <v>4230.7271080786513</v>
      </c>
      <c r="F77" s="46">
        <f t="shared" si="14"/>
        <v>4561.7030600492781</v>
      </c>
      <c r="G77" s="46">
        <f t="shared" si="14"/>
        <v>4892.6790120199057</v>
      </c>
      <c r="H77" s="53">
        <f t="shared" si="14"/>
        <v>5223.6549639905306</v>
      </c>
    </row>
    <row r="78" spans="2:29" ht="13.15" x14ac:dyDescent="0.4">
      <c r="C78" s="47">
        <f>DiscountRate+(-1)*$K$75</f>
        <v>9.7599999999999992E-2</v>
      </c>
      <c r="D78" s="46">
        <f t="shared" si="14"/>
        <v>3681.354842576709</v>
      </c>
      <c r="E78" s="46">
        <f t="shared" si="14"/>
        <v>3989.6999128060697</v>
      </c>
      <c r="F78" s="46">
        <f t="shared" si="14"/>
        <v>4298.0449830354301</v>
      </c>
      <c r="G78" s="46">
        <f t="shared" si="14"/>
        <v>4606.3900532647913</v>
      </c>
      <c r="H78" s="53">
        <f t="shared" si="14"/>
        <v>4914.7351234941516</v>
      </c>
    </row>
    <row r="79" spans="2:29" ht="13.15" x14ac:dyDescent="0.4">
      <c r="C79" s="47">
        <f>DiscountRate+(0)*$K$75</f>
        <v>0.1026</v>
      </c>
      <c r="D79" s="46">
        <f t="shared" si="14"/>
        <v>3477.5051566310599</v>
      </c>
      <c r="E79" s="46">
        <f t="shared" si="14"/>
        <v>3764.8592461019293</v>
      </c>
      <c r="F79" s="55">
        <f t="shared" si="14"/>
        <v>4052.2133355727988</v>
      </c>
      <c r="G79" s="46">
        <f t="shared" si="14"/>
        <v>4339.5674250436687</v>
      </c>
      <c r="H79" s="53">
        <f t="shared" si="14"/>
        <v>4626.9215145145372</v>
      </c>
      <c r="I79" s="60" t="s">
        <v>112</v>
      </c>
    </row>
    <row r="80" spans="2:29" ht="13.15" x14ac:dyDescent="0.4">
      <c r="C80" s="47">
        <f>DiscountRate+(1)*$K$75</f>
        <v>0.1076</v>
      </c>
      <c r="D80" s="46">
        <f t="shared" si="14"/>
        <v>3287.1402696514065</v>
      </c>
      <c r="E80" s="46">
        <f t="shared" si="14"/>
        <v>3555.0178042210632</v>
      </c>
      <c r="F80" s="46">
        <f t="shared" si="14"/>
        <v>3822.8953387907204</v>
      </c>
      <c r="G80" s="46">
        <f t="shared" si="14"/>
        <v>4090.7728733603781</v>
      </c>
      <c r="H80" s="53">
        <f t="shared" si="14"/>
        <v>4358.6504079300348</v>
      </c>
    </row>
    <row r="81" spans="2:29" ht="13.15" x14ac:dyDescent="0.4">
      <c r="C81" s="50">
        <f>DiscountRate+(2)*$K$75</f>
        <v>0.11259999999999999</v>
      </c>
      <c r="D81" s="51">
        <f t="shared" si="14"/>
        <v>3109.2813304360125</v>
      </c>
      <c r="E81" s="51">
        <f t="shared" si="14"/>
        <v>3359.0813652591091</v>
      </c>
      <c r="F81" s="51">
        <f t="shared" si="14"/>
        <v>3608.8814000822053</v>
      </c>
      <c r="G81" s="51">
        <f t="shared" si="14"/>
        <v>3858.6814349053025</v>
      </c>
      <c r="H81" s="54">
        <f t="shared" si="14"/>
        <v>4108.4814697283982</v>
      </c>
    </row>
    <row r="83" spans="2:29" ht="13.15" x14ac:dyDescent="0.4">
      <c r="B83" s="1" t="s">
        <v>105</v>
      </c>
      <c r="J83" s="45" t="s">
        <v>108</v>
      </c>
      <c r="K83" s="44">
        <v>0.02</v>
      </c>
    </row>
    <row r="84" spans="2:29" ht="13.15" x14ac:dyDescent="0.4">
      <c r="C84" s="48" t="s">
        <v>111</v>
      </c>
      <c r="D84" s="57">
        <f>MarginEnd+(-2)*$K$84</f>
        <v>5.6280000000000004E-2</v>
      </c>
      <c r="E84" s="57">
        <f>MarginEnd+(-1)*$K$84</f>
        <v>6.1280000000000008E-2</v>
      </c>
      <c r="F84" s="57">
        <f>MarginEnd+(0)*$K$84</f>
        <v>6.6280000000000006E-2</v>
      </c>
      <c r="G84" s="57">
        <f>MarginEnd+(1)*$K$84</f>
        <v>7.128000000000001E-2</v>
      </c>
      <c r="H84" s="59">
        <f>MarginEnd+(2)*$K$84</f>
        <v>7.6280000000000001E-2</v>
      </c>
      <c r="J84" s="45" t="s">
        <v>109</v>
      </c>
      <c r="K84" s="16">
        <v>5.0000000000000001E-3</v>
      </c>
    </row>
    <row r="85" spans="2:29" ht="13.15" x14ac:dyDescent="0.4">
      <c r="C85" s="56">
        <f>(-2)*$K$83</f>
        <v>-0.04</v>
      </c>
      <c r="D85" s="46">
        <f t="shared" ref="D85:H89" si="15">IF(Shares=0,0,(MarginStart*SUMPRODUCT($N$50:$AC$50,$N92:$AC92,$N$53:$AC$53)+(D$84-MarginStart)*SUMPRODUCT($N$50:$AC$50,$N92:$AC92,$N$45:$AC$45,$N$53:$AC$53)+$AC92*(MarginStart+(D$84-MarginStart)*$AC$45)*ExitMultiple*$AC$53+NetAdj)/Shares*1000)</f>
        <v>2232.0060312615246</v>
      </c>
      <c r="E85" s="46">
        <f t="shared" si="15"/>
        <v>2382.870467337641</v>
      </c>
      <c r="F85" s="46">
        <f t="shared" si="15"/>
        <v>2533.7349034137565</v>
      </c>
      <c r="G85" s="46">
        <f t="shared" si="15"/>
        <v>2684.5993394898733</v>
      </c>
      <c r="H85" s="53">
        <f t="shared" si="15"/>
        <v>2835.4637755659887</v>
      </c>
    </row>
    <row r="86" spans="2:29" ht="13.15" x14ac:dyDescent="0.4">
      <c r="C86" s="56">
        <f>(-1)*$K$83</f>
        <v>-0.02</v>
      </c>
      <c r="D86" s="46">
        <f t="shared" si="15"/>
        <v>2805.9510924610427</v>
      </c>
      <c r="E86" s="46">
        <f t="shared" si="15"/>
        <v>3002.9702086220846</v>
      </c>
      <c r="F86" s="46">
        <f t="shared" si="15"/>
        <v>3199.9893247831264</v>
      </c>
      <c r="G86" s="46">
        <f t="shared" si="15"/>
        <v>3397.0084409441683</v>
      </c>
      <c r="H86" s="53">
        <f t="shared" si="15"/>
        <v>3594.0275571052093</v>
      </c>
    </row>
    <row r="87" spans="2:29" ht="13.15" x14ac:dyDescent="0.4">
      <c r="C87" s="56">
        <f>(0)*$K$83</f>
        <v>0</v>
      </c>
      <c r="D87" s="46">
        <f t="shared" si="15"/>
        <v>3538.7760267298218</v>
      </c>
      <c r="E87" s="46">
        <f t="shared" si="15"/>
        <v>3795.4946811513109</v>
      </c>
      <c r="F87" s="55">
        <f t="shared" si="15"/>
        <v>4052.2133355727988</v>
      </c>
      <c r="G87" s="46">
        <f t="shared" si="15"/>
        <v>4308.9319899942866</v>
      </c>
      <c r="H87" s="53">
        <f t="shared" si="15"/>
        <v>4565.6506444157758</v>
      </c>
      <c r="I87" s="60" t="s">
        <v>112</v>
      </c>
    </row>
    <row r="88" spans="2:29" ht="13.15" x14ac:dyDescent="0.4">
      <c r="C88" s="56">
        <f>(1)*$K$83</f>
        <v>0.02</v>
      </c>
      <c r="D88" s="46">
        <f t="shared" si="15"/>
        <v>4473.1745937444693</v>
      </c>
      <c r="E88" s="46">
        <f t="shared" si="15"/>
        <v>4806.8570072753082</v>
      </c>
      <c r="F88" s="46">
        <f t="shared" si="15"/>
        <v>5140.5394208061462</v>
      </c>
      <c r="G88" s="46">
        <f t="shared" si="15"/>
        <v>5474.2218343369832</v>
      </c>
      <c r="H88" s="53">
        <f t="shared" si="15"/>
        <v>5807.9042478678221</v>
      </c>
    </row>
    <row r="89" spans="2:29" ht="13.15" x14ac:dyDescent="0.4">
      <c r="C89" s="58">
        <f>(2)*$K$83</f>
        <v>0.04</v>
      </c>
      <c r="D89" s="51">
        <f t="shared" si="15"/>
        <v>5662.5488061915548</v>
      </c>
      <c r="E89" s="51">
        <f t="shared" si="15"/>
        <v>6095.120165246105</v>
      </c>
      <c r="F89" s="51">
        <f t="shared" si="15"/>
        <v>6527.6915243006551</v>
      </c>
      <c r="G89" s="51">
        <f t="shared" si="15"/>
        <v>6960.2628833552071</v>
      </c>
      <c r="H89" s="54">
        <f t="shared" si="15"/>
        <v>7392.8342424097564</v>
      </c>
    </row>
    <row r="91" spans="2:29" ht="13.15" x14ac:dyDescent="0.4">
      <c r="B91" s="61" t="s">
        <v>113</v>
      </c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</row>
    <row r="92" spans="2:29" x14ac:dyDescent="0.35">
      <c r="B92" s="66" t="str">
        <f>"Revenue path, growth shift "&amp;TEXT(C85,"+0.0%;-0.0%;0.0%")&amp;" (₹ bn)"</f>
        <v>Revenue path, growth shift -4.0% (₹ bn)</v>
      </c>
      <c r="C92" s="63">
        <f>C85</f>
        <v>-0.04</v>
      </c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4">
        <f>$M$41*(1+N$42+$C92)</f>
        <v>991.39491108602476</v>
      </c>
      <c r="O92" s="64">
        <f t="shared" ref="O92:AC92" si="16">N92*(1+O$42+$C92)</f>
        <v>1126.3160211159475</v>
      </c>
      <c r="P92" s="64">
        <f t="shared" si="16"/>
        <v>1273.1670808472888</v>
      </c>
      <c r="Q92" s="64">
        <f t="shared" si="16"/>
        <v>1437.0022947135756</v>
      </c>
      <c r="R92" s="64">
        <f t="shared" si="16"/>
        <v>1615.1246315141507</v>
      </c>
      <c r="S92" s="64">
        <f t="shared" si="16"/>
        <v>1803.683463021076</v>
      </c>
      <c r="T92" s="64">
        <f t="shared" si="16"/>
        <v>1997.7758471479401</v>
      </c>
      <c r="U92" s="64">
        <f t="shared" si="16"/>
        <v>2191.7492919663073</v>
      </c>
      <c r="V92" s="64">
        <f t="shared" si="16"/>
        <v>2379.7006924341131</v>
      </c>
      <c r="W92" s="64">
        <f t="shared" si="16"/>
        <v>2556.1267993927827</v>
      </c>
      <c r="X92" s="64">
        <f t="shared" si="16"/>
        <v>2716.6446630628698</v>
      </c>
      <c r="Y92" s="64">
        <f t="shared" si="16"/>
        <v>2858.6792816189809</v>
      </c>
      <c r="Z92" s="64">
        <f t="shared" si="16"/>
        <v>2982.0207583161223</v>
      </c>
      <c r="AA92" s="64">
        <f t="shared" si="16"/>
        <v>3089.1883000021789</v>
      </c>
      <c r="AB92" s="64">
        <f t="shared" si="16"/>
        <v>3185.5981603817245</v>
      </c>
      <c r="AC92" s="64">
        <f t="shared" si="16"/>
        <v>3279.6051620945891</v>
      </c>
    </row>
    <row r="93" spans="2:29" x14ac:dyDescent="0.35">
      <c r="B93" s="66" t="str">
        <f>"Revenue path, growth shift "&amp;TEXT(C86,"+0.0%;-0.0%;0.0%")&amp;" (₹ bn)"</f>
        <v>Revenue path, growth shift -2.0% (₹ bn)</v>
      </c>
      <c r="C93" s="63">
        <f>C86</f>
        <v>-0.02</v>
      </c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4">
        <f>$M$41*(1+N$42+$C93)</f>
        <v>1008.9117110860249</v>
      </c>
      <c r="O93" s="64">
        <f t="shared" ref="O93:AC93" si="17">N93*(1+O$42+$C93)</f>
        <v>1166.3949551073201</v>
      </c>
      <c r="P93" s="64">
        <f t="shared" si="17"/>
        <v>1341.7994757007341</v>
      </c>
      <c r="Q93" s="64">
        <f t="shared" si="17"/>
        <v>1541.3025152619446</v>
      </c>
      <c r="R93" s="64">
        <f t="shared" si="17"/>
        <v>1763.1793431094582</v>
      </c>
      <c r="S93" s="64">
        <f t="shared" si="17"/>
        <v>2004.2865102049507</v>
      </c>
      <c r="T93" s="64">
        <f t="shared" si="17"/>
        <v>2260.0512967482414</v>
      </c>
      <c r="U93" s="64">
        <f t="shared" si="17"/>
        <v>2524.6913233710598</v>
      </c>
      <c r="V93" s="64">
        <f t="shared" si="17"/>
        <v>2791.6876812711698</v>
      </c>
      <c r="W93" s="64">
        <f t="shared" si="17"/>
        <v>3054.4914084806915</v>
      </c>
      <c r="X93" s="64">
        <f t="shared" si="17"/>
        <v>3307.3950526176623</v>
      </c>
      <c r="Y93" s="64">
        <f t="shared" si="17"/>
        <v>3546.463836956711</v>
      </c>
      <c r="Z93" s="64">
        <f t="shared" si="17"/>
        <v>3770.4099594525055</v>
      </c>
      <c r="AA93" s="64">
        <f t="shared" si="17"/>
        <v>3981.3187467499083</v>
      </c>
      <c r="AB93" s="64">
        <f t="shared" si="17"/>
        <v>4185.1973029133396</v>
      </c>
      <c r="AC93" s="64">
        <f t="shared" si="17"/>
        <v>4392.4064213805786</v>
      </c>
    </row>
    <row r="94" spans="2:29" x14ac:dyDescent="0.35">
      <c r="B94" s="66" t="str">
        <f>"Revenue path, growth shift "&amp;TEXT(C87,"+0.0%;-0.0%;0.0%")&amp;" (₹ bn)"</f>
        <v>Revenue path, growth shift 0.0% (₹ bn)</v>
      </c>
      <c r="C94" s="63">
        <f>C87</f>
        <v>0</v>
      </c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4">
        <f>$M$41*(1+N$42+$C94)</f>
        <v>1026.4285110860249</v>
      </c>
      <c r="O94" s="64">
        <f t="shared" ref="O94:AC94" si="18">N94*(1+O$42+$C94)</f>
        <v>1207.1745610986927</v>
      </c>
      <c r="P94" s="64">
        <f t="shared" si="18"/>
        <v>1412.8550816390061</v>
      </c>
      <c r="Q94" s="64">
        <f t="shared" si="18"/>
        <v>1651.1799976889013</v>
      </c>
      <c r="R94" s="64">
        <f t="shared" si="18"/>
        <v>1921.8977403984352</v>
      </c>
      <c r="S94" s="64">
        <f t="shared" si="18"/>
        <v>2223.1469182652531</v>
      </c>
      <c r="T94" s="64">
        <f t="shared" si="18"/>
        <v>2551.3031779742937</v>
      </c>
      <c r="U94" s="64">
        <f t="shared" si="18"/>
        <v>2901.0733195613188</v>
      </c>
      <c r="V94" s="64">
        <f t="shared" si="18"/>
        <v>3265.8950680915164</v>
      </c>
      <c r="W94" s="64">
        <f t="shared" si="18"/>
        <v>3638.6576031520667</v>
      </c>
      <c r="X94" s="64">
        <f t="shared" si="18"/>
        <v>4012.7017835273391</v>
      </c>
      <c r="Y94" s="64">
        <f t="shared" si="18"/>
        <v>4383.0063641256111</v>
      </c>
      <c r="Z94" s="64">
        <f t="shared" si="18"/>
        <v>4747.4371918144789</v>
      </c>
      <c r="AA94" s="64">
        <f t="shared" si="18"/>
        <v>5107.9475673205443</v>
      </c>
      <c r="AB94" s="64">
        <f t="shared" si="18"/>
        <v>5471.678384982346</v>
      </c>
      <c r="AC94" s="64">
        <f t="shared" si="18"/>
        <v>5852.0147495224683</v>
      </c>
    </row>
    <row r="95" spans="2:29" x14ac:dyDescent="0.35">
      <c r="B95" s="66" t="str">
        <f>"Revenue path, growth shift "&amp;TEXT(C88,"+0.0%;-0.0%;0.0%")&amp;" (₹ bn)"</f>
        <v>Revenue path, growth shift +2.0% (₹ bn)</v>
      </c>
      <c r="C95" s="63">
        <f>C88</f>
        <v>0.02</v>
      </c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4">
        <f>$M$41*(1+N$42+$C95)</f>
        <v>1043.945311086025</v>
      </c>
      <c r="O95" s="64">
        <f t="shared" ref="O95:AC95" si="19">N95*(1+O$42+$C95)</f>
        <v>1248.6548390900655</v>
      </c>
      <c r="P95" s="64">
        <f t="shared" si="19"/>
        <v>1486.3759389821057</v>
      </c>
      <c r="Q95" s="64">
        <f t="shared" si="19"/>
        <v>1766.8301072816348</v>
      </c>
      <c r="R95" s="64">
        <f t="shared" si="19"/>
        <v>2091.8457626280119</v>
      </c>
      <c r="S95" s="64">
        <f t="shared" si="19"/>
        <v>2461.5704749104148</v>
      </c>
      <c r="T95" s="64">
        <f t="shared" si="19"/>
        <v>2874.1515818218413</v>
      </c>
      <c r="U95" s="64">
        <f t="shared" si="19"/>
        <v>3325.6655598370576</v>
      </c>
      <c r="V95" s="64">
        <f t="shared" si="19"/>
        <v>3810.3948176579529</v>
      </c>
      <c r="W95" s="64">
        <f t="shared" si="19"/>
        <v>4321.5133287730805</v>
      </c>
      <c r="X95" s="64">
        <f t="shared" si="19"/>
        <v>4852.18350119774</v>
      </c>
      <c r="Y95" s="64">
        <f t="shared" si="19"/>
        <v>5397.0017314376873</v>
      </c>
      <c r="Z95" s="64">
        <f t="shared" si="19"/>
        <v>5953.6825719489952</v>
      </c>
      <c r="AA95" s="64">
        <f t="shared" si="19"/>
        <v>6524.8663309967724</v>
      </c>
      <c r="AB95" s="64">
        <f t="shared" si="19"/>
        <v>7119.9915603953505</v>
      </c>
      <c r="AC95" s="64">
        <f t="shared" si="19"/>
        <v>7757.3020049663382</v>
      </c>
    </row>
    <row r="96" spans="2:29" x14ac:dyDescent="0.35">
      <c r="B96" s="66" t="str">
        <f>"Revenue path, growth shift "&amp;TEXT(C89,"+0.0%;-0.0%;0.0%")&amp;" (₹ bn)"</f>
        <v>Revenue path, growth shift +4.0% (₹ bn)</v>
      </c>
      <c r="C96" s="63">
        <f>C89</f>
        <v>0.04</v>
      </c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4">
        <f>$M$41*(1+N$42+$C96)</f>
        <v>1061.4621110860248</v>
      </c>
      <c r="O96" s="64">
        <f t="shared" ref="O96:AC96" si="20">N96*(1+O$42+$C96)</f>
        <v>1290.8357890814377</v>
      </c>
      <c r="P96" s="64">
        <f t="shared" si="20"/>
        <v>1562.404088050032</v>
      </c>
      <c r="Q96" s="64">
        <f t="shared" si="20"/>
        <v>1888.4515725529329</v>
      </c>
      <c r="R96" s="64">
        <f t="shared" si="20"/>
        <v>2273.6090274373664</v>
      </c>
      <c r="S96" s="64">
        <f t="shared" si="20"/>
        <v>2720.931793019633</v>
      </c>
      <c r="T96" s="64">
        <f t="shared" si="20"/>
        <v>3231.4027996882955</v>
      </c>
      <c r="U96" s="64">
        <f t="shared" si="20"/>
        <v>3803.6671062836863</v>
      </c>
      <c r="V96" s="64">
        <f t="shared" si="20"/>
        <v>4434.1403723502926</v>
      </c>
      <c r="W96" s="64">
        <f t="shared" si="20"/>
        <v>5117.6096346519107</v>
      </c>
      <c r="X96" s="64">
        <f t="shared" si="20"/>
        <v>5848.3904773599797</v>
      </c>
      <c r="Y96" s="64">
        <f t="shared" si="20"/>
        <v>6622.0337297961178</v>
      </c>
      <c r="Z96" s="64">
        <f t="shared" si="20"/>
        <v>7437.5127812604387</v>
      </c>
      <c r="AA96" s="64">
        <f t="shared" si="20"/>
        <v>8299.8023391624793</v>
      </c>
      <c r="AB96" s="64">
        <f t="shared" si="20"/>
        <v>9222.8133990490478</v>
      </c>
      <c r="AC96" s="64">
        <f t="shared" si="20"/>
        <v>10232.803694378908</v>
      </c>
    </row>
    <row r="97" spans="2:29" x14ac:dyDescent="0.35">
      <c r="B97" s="66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</row>
    <row r="98" spans="2:29" x14ac:dyDescent="0.35">
      <c r="B98" s="66" t="s">
        <v>114</v>
      </c>
      <c r="C98" s="62"/>
      <c r="D98" s="65">
        <f t="shared" ref="D98:AC98" si="21">IF(D$39="Forecast",1,0)</f>
        <v>0</v>
      </c>
      <c r="E98" s="65">
        <f t="shared" si="21"/>
        <v>0</v>
      </c>
      <c r="F98" s="65">
        <f t="shared" si="21"/>
        <v>0</v>
      </c>
      <c r="G98" s="65">
        <f t="shared" si="21"/>
        <v>0</v>
      </c>
      <c r="H98" s="65">
        <f t="shared" si="21"/>
        <v>0</v>
      </c>
      <c r="I98" s="65">
        <f t="shared" si="21"/>
        <v>0</v>
      </c>
      <c r="J98" s="65">
        <f t="shared" si="21"/>
        <v>0</v>
      </c>
      <c r="K98" s="65">
        <f t="shared" si="21"/>
        <v>0</v>
      </c>
      <c r="L98" s="65">
        <f t="shared" si="21"/>
        <v>0</v>
      </c>
      <c r="M98" s="65">
        <f t="shared" si="21"/>
        <v>0</v>
      </c>
      <c r="N98" s="65">
        <f t="shared" si="21"/>
        <v>1</v>
      </c>
      <c r="O98" s="65">
        <f t="shared" si="21"/>
        <v>1</v>
      </c>
      <c r="P98" s="65">
        <f t="shared" si="21"/>
        <v>1</v>
      </c>
      <c r="Q98" s="65">
        <f t="shared" si="21"/>
        <v>1</v>
      </c>
      <c r="R98" s="65">
        <f t="shared" si="21"/>
        <v>1</v>
      </c>
      <c r="S98" s="65">
        <f t="shared" si="21"/>
        <v>1</v>
      </c>
      <c r="T98" s="65">
        <f t="shared" si="21"/>
        <v>1</v>
      </c>
      <c r="U98" s="65">
        <f t="shared" si="21"/>
        <v>1</v>
      </c>
      <c r="V98" s="65">
        <f t="shared" si="21"/>
        <v>1</v>
      </c>
      <c r="W98" s="65">
        <f t="shared" si="21"/>
        <v>1</v>
      </c>
      <c r="X98" s="65">
        <f t="shared" si="21"/>
        <v>1</v>
      </c>
      <c r="Y98" s="65">
        <f t="shared" si="21"/>
        <v>1</v>
      </c>
      <c r="Z98" s="65">
        <f t="shared" si="21"/>
        <v>1</v>
      </c>
      <c r="AA98" s="65">
        <f t="shared" si="21"/>
        <v>1</v>
      </c>
      <c r="AB98" s="65">
        <f t="shared" si="21"/>
        <v>1</v>
      </c>
      <c r="AC98" s="65">
        <f t="shared" si="21"/>
        <v>1</v>
      </c>
    </row>
    <row r="99" spans="2:29" x14ac:dyDescent="0.35">
      <c r="B99" s="66" t="s">
        <v>115</v>
      </c>
      <c r="C99" s="62"/>
      <c r="D99" s="65" t="e">
        <f t="shared" ref="D99:AC99" si="22">IF(D$38=$M$38,$M$41,IF(D$38=$AC$38,$AC$41,IF(D$38=$U$38,($M$41+$AC$41)/2,NA())))</f>
        <v>#N/A</v>
      </c>
      <c r="E99" s="65" t="e">
        <f t="shared" si="22"/>
        <v>#N/A</v>
      </c>
      <c r="F99" s="65" t="e">
        <f t="shared" si="22"/>
        <v>#N/A</v>
      </c>
      <c r="G99" s="65" t="e">
        <f t="shared" si="22"/>
        <v>#N/A</v>
      </c>
      <c r="H99" s="65" t="e">
        <f t="shared" si="22"/>
        <v>#N/A</v>
      </c>
      <c r="I99" s="65" t="e">
        <f t="shared" si="22"/>
        <v>#N/A</v>
      </c>
      <c r="J99" s="65" t="e">
        <f t="shared" si="22"/>
        <v>#N/A</v>
      </c>
      <c r="K99" s="65" t="e">
        <f t="shared" si="22"/>
        <v>#N/A</v>
      </c>
      <c r="L99" s="65" t="e">
        <f t="shared" si="22"/>
        <v>#N/A</v>
      </c>
      <c r="M99" s="65">
        <f t="shared" si="22"/>
        <v>875.84</v>
      </c>
      <c r="N99" s="65" t="e">
        <f t="shared" si="22"/>
        <v>#N/A</v>
      </c>
      <c r="O99" s="65" t="e">
        <f t="shared" si="22"/>
        <v>#N/A</v>
      </c>
      <c r="P99" s="65" t="e">
        <f t="shared" si="22"/>
        <v>#N/A</v>
      </c>
      <c r="Q99" s="65" t="e">
        <f t="shared" si="22"/>
        <v>#N/A</v>
      </c>
      <c r="R99" s="65" t="e">
        <f t="shared" si="22"/>
        <v>#N/A</v>
      </c>
      <c r="S99" s="65" t="e">
        <f t="shared" si="22"/>
        <v>#N/A</v>
      </c>
      <c r="T99" s="65" t="e">
        <f t="shared" si="22"/>
        <v>#N/A</v>
      </c>
      <c r="U99" s="65">
        <f t="shared" si="22"/>
        <v>3363.9273747612342</v>
      </c>
      <c r="V99" s="65" t="e">
        <f t="shared" si="22"/>
        <v>#N/A</v>
      </c>
      <c r="W99" s="65" t="e">
        <f t="shared" si="22"/>
        <v>#N/A</v>
      </c>
      <c r="X99" s="65" t="e">
        <f t="shared" si="22"/>
        <v>#N/A</v>
      </c>
      <c r="Y99" s="65" t="e">
        <f t="shared" si="22"/>
        <v>#N/A</v>
      </c>
      <c r="Z99" s="65" t="e">
        <f t="shared" si="22"/>
        <v>#N/A</v>
      </c>
      <c r="AA99" s="65" t="e">
        <f t="shared" si="22"/>
        <v>#N/A</v>
      </c>
      <c r="AB99" s="65" t="e">
        <f t="shared" si="22"/>
        <v>#N/A</v>
      </c>
      <c r="AC99" s="65">
        <f t="shared" si="22"/>
        <v>5852.0147495224683</v>
      </c>
    </row>
    <row r="100" spans="2:29" x14ac:dyDescent="0.35">
      <c r="B100" s="66" t="s">
        <v>116</v>
      </c>
      <c r="C100" s="62"/>
      <c r="D100" s="65" t="e">
        <f t="shared" ref="D100:AC100" si="23">IF(D$38=$M$38,$M$46,IF(D$38=$AC$38,$AC$46,IF(D$38=$U$38,($M$46+$AC$46)/2,NA())))</f>
        <v>#N/A</v>
      </c>
      <c r="E100" s="65" t="e">
        <f t="shared" si="23"/>
        <v>#N/A</v>
      </c>
      <c r="F100" s="65" t="e">
        <f t="shared" si="23"/>
        <v>#N/A</v>
      </c>
      <c r="G100" s="65" t="e">
        <f t="shared" si="23"/>
        <v>#N/A</v>
      </c>
      <c r="H100" s="65" t="e">
        <f t="shared" si="23"/>
        <v>#N/A</v>
      </c>
      <c r="I100" s="65" t="e">
        <f t="shared" si="23"/>
        <v>#N/A</v>
      </c>
      <c r="J100" s="65" t="e">
        <f t="shared" si="23"/>
        <v>#N/A</v>
      </c>
      <c r="K100" s="65" t="e">
        <f t="shared" si="23"/>
        <v>#N/A</v>
      </c>
      <c r="L100" s="65" t="e">
        <f t="shared" si="23"/>
        <v>#N/A</v>
      </c>
      <c r="M100" s="65">
        <f t="shared" si="23"/>
        <v>50.73</v>
      </c>
      <c r="N100" s="65" t="e">
        <f t="shared" si="23"/>
        <v>#N/A</v>
      </c>
      <c r="O100" s="65" t="e">
        <f t="shared" si="23"/>
        <v>#N/A</v>
      </c>
      <c r="P100" s="65" t="e">
        <f t="shared" si="23"/>
        <v>#N/A</v>
      </c>
      <c r="Q100" s="65" t="e">
        <f t="shared" si="23"/>
        <v>#N/A</v>
      </c>
      <c r="R100" s="65" t="e">
        <f t="shared" si="23"/>
        <v>#N/A</v>
      </c>
      <c r="S100" s="65" t="e">
        <f t="shared" si="23"/>
        <v>#N/A</v>
      </c>
      <c r="T100" s="65" t="e">
        <f t="shared" si="23"/>
        <v>#N/A</v>
      </c>
      <c r="U100" s="65">
        <f t="shared" si="23"/>
        <v>219.30076879917462</v>
      </c>
      <c r="V100" s="65" t="e">
        <f t="shared" si="23"/>
        <v>#N/A</v>
      </c>
      <c r="W100" s="65" t="e">
        <f t="shared" si="23"/>
        <v>#N/A</v>
      </c>
      <c r="X100" s="65" t="e">
        <f t="shared" si="23"/>
        <v>#N/A</v>
      </c>
      <c r="Y100" s="65" t="e">
        <f t="shared" si="23"/>
        <v>#N/A</v>
      </c>
      <c r="Z100" s="65" t="e">
        <f t="shared" si="23"/>
        <v>#N/A</v>
      </c>
      <c r="AA100" s="65" t="e">
        <f t="shared" si="23"/>
        <v>#N/A</v>
      </c>
      <c r="AB100" s="65" t="e">
        <f t="shared" si="23"/>
        <v>#N/A</v>
      </c>
      <c r="AC100" s="65">
        <f t="shared" si="23"/>
        <v>387.87153759834922</v>
      </c>
    </row>
    <row r="101" spans="2:29" x14ac:dyDescent="0.35">
      <c r="B101" s="66" t="s">
        <v>117</v>
      </c>
      <c r="C101" s="62" t="str">
        <f>TEXT(C6,"0.0%")&amp;" CAGR"</f>
        <v>12.6% CAGR</v>
      </c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</row>
    <row r="102" spans="2:29" x14ac:dyDescent="0.35">
      <c r="B102" s="66" t="s">
        <v>118</v>
      </c>
      <c r="C102" s="62" t="str">
        <f>TEXT((AC46/M46)^(1/AC40)-1,"0.0%")&amp;" CAGR"</f>
        <v>13.6% CAGR</v>
      </c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</row>
    <row r="103" spans="2:29" x14ac:dyDescent="0.35">
      <c r="B103" s="66" t="s">
        <v>119</v>
      </c>
      <c r="C103" s="62" t="str">
        <f>AC38&amp;" · FORECAST"</f>
        <v>2042 · FORECAST</v>
      </c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</row>
    <row r="104" spans="2:29" x14ac:dyDescent="0.35">
      <c r="B104" s="66" t="s">
        <v>120</v>
      </c>
      <c r="C104" s="62" t="str">
        <f>"Revenue  "&amp;TEXT(AC41/1000,"0.0")&amp;"T"</f>
        <v>Revenue  5.9T</v>
      </c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</row>
    <row r="105" spans="2:29" x14ac:dyDescent="0.35">
      <c r="B105" s="66" t="s">
        <v>121</v>
      </c>
      <c r="C105" s="62" t="str">
        <f>"Net Income  "&amp;TEXT(AC46,"0.0")&amp;"B"</f>
        <v>Net Income  387.9B</v>
      </c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</row>
  </sheetData>
  <conditionalFormatting sqref="B16:C18">
    <cfRule type="expression" dxfId="2" priority="2" stopIfTrue="1">
      <formula>ValuePerShare&gt;=Price</formula>
    </cfRule>
  </conditionalFormatting>
  <conditionalFormatting sqref="C17">
    <cfRule type="expression" dxfId="1" priority="1" stopIfTrue="1">
      <formula>ValuePerShare&gt;=Price</formula>
    </cfRule>
  </conditionalFormatting>
  <conditionalFormatting sqref="C69">
    <cfRule type="expression" dxfId="0" priority="3" stopIfTrue="1">
      <formula>ValuePerShare&gt;=Price</formula>
    </cfRule>
  </conditionalFormatting>
  <dataValidations count="3">
    <dataValidation type="list" allowBlank="1" showInputMessage="1" showErrorMessage="1" sqref="C27" xr:uid="{957EE5A0-2B50-4D64-A5EA-EF2945D87C21}">
      <formula1>"Base case (per year),Constant CAGR"</formula1>
    </dataValidation>
    <dataValidation type="decimal" operator="greaterThan" allowBlank="1" showInputMessage="1" showErrorMessage="1" sqref="C26" xr:uid="{82EA2BA3-B59F-4DA8-A288-446FB15A458B}">
      <formula1>0</formula1>
    </dataValidation>
    <dataValidation type="date" allowBlank="1" showInputMessage="1" showErrorMessage="1" errorTitle="Date outside FY2027" error="Enter the price date as a date within FY2027 (31-Mar-2026 to 30-Mar-2027). For a later date, roll the forecast forward a year first." sqref="C34" xr:uid="{7541A97E-4584-4037-9D54-425CC18DD850}">
      <formula1>DATE(2026,3,31)</formula1>
      <formula2>DATE(2027,3,30)</formula2>
    </dataValidation>
  </dataValidations>
  <pageMargins left="0.7" right="0.7" top="0.75" bottom="0.75" header="0.3" footer="0.3"/>
  <pageSetup scale="38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175B-854D-49D9-B8A1-97A477830138}">
  <sheetPr>
    <pageSetUpPr fitToPage="1"/>
  </sheetPr>
  <dimension ref="B2:G39"/>
  <sheetViews>
    <sheetView showGridLines="0" workbookViewId="0"/>
  </sheetViews>
  <sheetFormatPr defaultRowHeight="12.75" x14ac:dyDescent="0.35"/>
  <cols>
    <col min="1" max="1" width="2.59765625" customWidth="1"/>
    <col min="2" max="2" width="30.59765625" customWidth="1"/>
    <col min="3" max="7" width="14.59765625" customWidth="1"/>
    <col min="8" max="8" width="4.59765625" customWidth="1"/>
  </cols>
  <sheetData>
    <row r="2" spans="2:7" ht="17.649999999999999" x14ac:dyDescent="0.5">
      <c r="B2" s="2" t="s">
        <v>0</v>
      </c>
    </row>
    <row r="3" spans="2:7" x14ac:dyDescent="0.35">
      <c r="B3" s="3" t="s">
        <v>1</v>
      </c>
    </row>
    <row r="5" spans="2:7" ht="13.15" x14ac:dyDescent="0.4">
      <c r="B5" s="4" t="s">
        <v>2</v>
      </c>
      <c r="C5" s="4"/>
      <c r="D5" s="4"/>
      <c r="E5" s="4"/>
      <c r="F5" s="4"/>
      <c r="G5" s="4"/>
    </row>
    <row r="6" spans="2:7" ht="13.15" x14ac:dyDescent="0.4">
      <c r="B6" s="5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</row>
    <row r="7" spans="2:7" x14ac:dyDescent="0.35">
      <c r="B7" s="9" t="s">
        <v>9</v>
      </c>
      <c r="C7" s="7">
        <v>13382.1</v>
      </c>
      <c r="D7" s="7">
        <v>711.5</v>
      </c>
      <c r="E7" s="8">
        <f t="shared" ref="E7:E16" si="0">IF(C7=0,0,D7/C7)</f>
        <v>5.3168037901375718E-2</v>
      </c>
      <c r="F7" s="8"/>
      <c r="G7" s="8"/>
    </row>
    <row r="8" spans="2:7" x14ac:dyDescent="0.35">
      <c r="B8" s="9" t="s">
        <v>10</v>
      </c>
      <c r="C8" s="7">
        <v>16156</v>
      </c>
      <c r="D8" s="7">
        <v>1130.0999999999999</v>
      </c>
      <c r="E8" s="8">
        <f t="shared" si="0"/>
        <v>6.9949244862589743E-2</v>
      </c>
      <c r="F8" s="8">
        <f t="shared" ref="F8:F16" si="1">IF(C7=0,0,C8/C7-1)</f>
        <v>0.20728435746258067</v>
      </c>
      <c r="G8" s="8">
        <f t="shared" ref="G8:G16" si="2">IF(D7=0,0,D8/D7-1)</f>
        <v>0.58833450456781433</v>
      </c>
    </row>
    <row r="9" spans="2:7" x14ac:dyDescent="0.35">
      <c r="B9" s="9" t="s">
        <v>11</v>
      </c>
      <c r="C9" s="7">
        <v>19778.5</v>
      </c>
      <c r="D9" s="7">
        <v>1404.2</v>
      </c>
      <c r="E9" s="8">
        <f t="shared" si="0"/>
        <v>7.0996283843567515E-2</v>
      </c>
      <c r="F9" s="8">
        <f t="shared" si="1"/>
        <v>0.22422010398613512</v>
      </c>
      <c r="G9" s="8">
        <f t="shared" si="2"/>
        <v>0.24254490753030722</v>
      </c>
    </row>
    <row r="10" spans="2:7" x14ac:dyDescent="0.35">
      <c r="B10" s="9" t="s">
        <v>12</v>
      </c>
      <c r="C10" s="7">
        <v>21051.5</v>
      </c>
      <c r="D10" s="7">
        <v>1501.4</v>
      </c>
      <c r="E10" s="8">
        <f t="shared" si="0"/>
        <v>7.1320333467923908E-2</v>
      </c>
      <c r="F10" s="8">
        <f t="shared" si="1"/>
        <v>6.4362818211694428E-2</v>
      </c>
      <c r="G10" s="8">
        <f t="shared" si="2"/>
        <v>6.9220908702464001E-2</v>
      </c>
    </row>
    <row r="11" spans="2:7" x14ac:dyDescent="0.35">
      <c r="B11" s="9" t="s">
        <v>13</v>
      </c>
      <c r="C11" s="7">
        <v>21644</v>
      </c>
      <c r="D11" s="7">
        <v>973</v>
      </c>
      <c r="E11" s="8">
        <f t="shared" si="0"/>
        <v>4.495472186287193E-2</v>
      </c>
      <c r="F11" s="8">
        <f t="shared" si="1"/>
        <v>2.8145262807875993E-2</v>
      </c>
      <c r="G11" s="8">
        <f t="shared" si="2"/>
        <v>-0.35193819102171309</v>
      </c>
    </row>
    <row r="12" spans="2:7" x14ac:dyDescent="0.35">
      <c r="B12" s="9" t="s">
        <v>14</v>
      </c>
      <c r="C12" s="7">
        <v>28799</v>
      </c>
      <c r="D12" s="7">
        <v>2173</v>
      </c>
      <c r="E12" s="8">
        <f t="shared" si="0"/>
        <v>7.5454008819750687E-2</v>
      </c>
      <c r="F12" s="8">
        <f t="shared" si="1"/>
        <v>0.33057660321567184</v>
      </c>
      <c r="G12" s="8">
        <f t="shared" si="2"/>
        <v>1.2332990750256938</v>
      </c>
    </row>
    <row r="13" spans="2:7" x14ac:dyDescent="0.35">
      <c r="B13" s="9" t="s">
        <v>15</v>
      </c>
      <c r="C13" s="7">
        <v>40575</v>
      </c>
      <c r="D13" s="7">
        <v>3250</v>
      </c>
      <c r="E13" s="8">
        <f t="shared" si="0"/>
        <v>8.0098582871226121E-2</v>
      </c>
      <c r="F13" s="8">
        <f t="shared" si="1"/>
        <v>0.40890308691274013</v>
      </c>
      <c r="G13" s="8">
        <f t="shared" si="2"/>
        <v>0.49562816382880803</v>
      </c>
    </row>
    <row r="14" spans="2:7" x14ac:dyDescent="0.35">
      <c r="B14" s="9" t="s">
        <v>16</v>
      </c>
      <c r="C14" s="7">
        <v>51084</v>
      </c>
      <c r="D14" s="7">
        <v>3496</v>
      </c>
      <c r="E14" s="8">
        <f t="shared" si="0"/>
        <v>6.8436300994440535E-2</v>
      </c>
      <c r="F14" s="8">
        <f t="shared" si="1"/>
        <v>0.25900184842883545</v>
      </c>
      <c r="G14" s="8">
        <f t="shared" si="2"/>
        <v>7.5692307692307725E-2</v>
      </c>
    </row>
    <row r="15" spans="2:7" x14ac:dyDescent="0.35">
      <c r="B15" s="9" t="s">
        <v>17</v>
      </c>
      <c r="C15" s="7">
        <v>60456</v>
      </c>
      <c r="D15" s="7">
        <v>3337</v>
      </c>
      <c r="E15" s="8">
        <f t="shared" si="0"/>
        <v>5.5197168188434564E-2</v>
      </c>
      <c r="F15" s="8">
        <f t="shared" si="1"/>
        <v>0.18346253229974163</v>
      </c>
      <c r="G15" s="8">
        <f t="shared" si="2"/>
        <v>-4.5480549199084619E-2</v>
      </c>
    </row>
    <row r="16" spans="2:7" x14ac:dyDescent="0.35">
      <c r="B16" s="9" t="s">
        <v>18</v>
      </c>
      <c r="C16" s="7">
        <v>87584</v>
      </c>
      <c r="D16" s="7">
        <v>5073</v>
      </c>
      <c r="E16" s="8">
        <f t="shared" si="0"/>
        <v>5.792153818048959E-2</v>
      </c>
      <c r="F16" s="8">
        <f t="shared" si="1"/>
        <v>0.448723038242689</v>
      </c>
      <c r="G16" s="8">
        <f t="shared" si="2"/>
        <v>0.52022774947557693</v>
      </c>
    </row>
    <row r="17" spans="2:7" ht="36" customHeight="1" x14ac:dyDescent="0.35">
      <c r="B17" s="119" t="s">
        <v>19</v>
      </c>
      <c r="C17" s="119"/>
      <c r="D17" s="119"/>
      <c r="E17" s="119"/>
      <c r="F17" s="119"/>
      <c r="G17" s="119"/>
    </row>
    <row r="19" spans="2:7" ht="13.15" x14ac:dyDescent="0.4">
      <c r="B19" s="4" t="s">
        <v>20</v>
      </c>
      <c r="C19" s="4"/>
      <c r="D19" s="4"/>
      <c r="E19" s="4"/>
      <c r="F19" s="4"/>
      <c r="G19" s="4"/>
    </row>
    <row r="20" spans="2:7" ht="13.15" x14ac:dyDescent="0.4">
      <c r="B20" s="11" t="s">
        <v>21</v>
      </c>
      <c r="C20" s="12" t="s">
        <v>4</v>
      </c>
      <c r="D20" s="12" t="s">
        <v>5</v>
      </c>
      <c r="E20" s="12" t="s">
        <v>6</v>
      </c>
    </row>
    <row r="21" spans="2:7" x14ac:dyDescent="0.35">
      <c r="B21" t="s">
        <v>22</v>
      </c>
      <c r="C21" s="13">
        <v>21356</v>
      </c>
      <c r="D21" s="13">
        <v>1777</v>
      </c>
      <c r="E21" s="14">
        <f>IF(C21=0,0,D21/C21)</f>
        <v>8.3208466004869822E-2</v>
      </c>
    </row>
    <row r="22" spans="2:7" x14ac:dyDescent="0.35">
      <c r="B22" t="s">
        <v>23</v>
      </c>
      <c r="C22" s="13">
        <v>16523</v>
      </c>
      <c r="D22" s="13">
        <v>1091</v>
      </c>
      <c r="E22" s="14">
        <f>IF(C22=0,0,D22/C22)</f>
        <v>6.6029171457967675E-2</v>
      </c>
    </row>
    <row r="23" spans="2:7" ht="24" customHeight="1" x14ac:dyDescent="0.35">
      <c r="B23" s="119" t="s">
        <v>145</v>
      </c>
      <c r="C23" s="119"/>
      <c r="D23" s="119"/>
      <c r="E23" s="119"/>
      <c r="F23" s="119"/>
      <c r="G23" s="119"/>
    </row>
    <row r="25" spans="2:7" ht="13.15" x14ac:dyDescent="0.4">
      <c r="B25" s="4" t="s">
        <v>24</v>
      </c>
      <c r="C25" s="4"/>
      <c r="D25" s="4"/>
      <c r="E25" s="4"/>
      <c r="F25" s="4"/>
      <c r="G25" s="4"/>
    </row>
    <row r="26" spans="2:7" ht="27" customHeight="1" x14ac:dyDescent="0.35">
      <c r="B26" s="118" t="s">
        <v>25</v>
      </c>
      <c r="C26" s="118"/>
      <c r="D26" s="118"/>
      <c r="E26" s="118"/>
      <c r="F26" s="118"/>
      <c r="G26" s="118"/>
    </row>
    <row r="27" spans="2:7" ht="27" customHeight="1" x14ac:dyDescent="0.35">
      <c r="B27" s="118" t="s">
        <v>140</v>
      </c>
      <c r="C27" s="118"/>
      <c r="D27" s="118"/>
      <c r="E27" s="118"/>
      <c r="F27" s="118"/>
      <c r="G27" s="118"/>
    </row>
    <row r="28" spans="2:7" ht="27" customHeight="1" x14ac:dyDescent="0.35">
      <c r="B28" s="118" t="s">
        <v>26</v>
      </c>
      <c r="C28" s="118"/>
      <c r="D28" s="118"/>
      <c r="E28" s="118"/>
      <c r="F28" s="118"/>
      <c r="G28" s="118"/>
    </row>
    <row r="29" spans="2:7" ht="27" customHeight="1" x14ac:dyDescent="0.35">
      <c r="B29" s="118" t="s">
        <v>141</v>
      </c>
      <c r="C29" s="118"/>
      <c r="D29" s="118"/>
      <c r="E29" s="118"/>
      <c r="F29" s="118"/>
      <c r="G29" s="118"/>
    </row>
    <row r="30" spans="2:7" ht="27" customHeight="1" x14ac:dyDescent="0.35">
      <c r="B30" s="118" t="s">
        <v>27</v>
      </c>
      <c r="C30" s="118"/>
      <c r="D30" s="118"/>
      <c r="E30" s="118"/>
      <c r="F30" s="118"/>
      <c r="G30" s="118"/>
    </row>
    <row r="31" spans="2:7" ht="27" customHeight="1" x14ac:dyDescent="0.35">
      <c r="B31" s="118" t="s">
        <v>28</v>
      </c>
      <c r="C31" s="118"/>
      <c r="D31" s="118"/>
      <c r="E31" s="118"/>
      <c r="F31" s="118"/>
      <c r="G31" s="118"/>
    </row>
    <row r="32" spans="2:7" ht="27" customHeight="1" x14ac:dyDescent="0.35">
      <c r="B32" s="118" t="s">
        <v>142</v>
      </c>
      <c r="C32" s="118"/>
      <c r="D32" s="118"/>
      <c r="E32" s="118"/>
      <c r="F32" s="118"/>
      <c r="G32" s="118"/>
    </row>
    <row r="35" spans="2:7" ht="13.15" x14ac:dyDescent="0.4">
      <c r="B35" s="4" t="s">
        <v>29</v>
      </c>
      <c r="C35" s="4"/>
      <c r="D35" s="4"/>
      <c r="E35" s="4"/>
      <c r="F35" s="4"/>
      <c r="G35" s="4"/>
    </row>
    <row r="36" spans="2:7" x14ac:dyDescent="0.35">
      <c r="B36" s="15" t="s">
        <v>143</v>
      </c>
    </row>
    <row r="37" spans="2:7" x14ac:dyDescent="0.35">
      <c r="B37" s="15" t="s">
        <v>30</v>
      </c>
    </row>
    <row r="38" spans="2:7" x14ac:dyDescent="0.35">
      <c r="B38" t="s">
        <v>144</v>
      </c>
    </row>
    <row r="39" spans="2:7" x14ac:dyDescent="0.35">
      <c r="B39" s="10" t="s">
        <v>31</v>
      </c>
    </row>
  </sheetData>
  <mergeCells count="9">
    <mergeCell ref="B30:G30"/>
    <mergeCell ref="B31:G31"/>
    <mergeCell ref="B32:G32"/>
    <mergeCell ref="B17:G17"/>
    <mergeCell ref="B23:G23"/>
    <mergeCell ref="B26:G26"/>
    <mergeCell ref="B27:G27"/>
    <mergeCell ref="B28:G28"/>
    <mergeCell ref="B29:G29"/>
  </mergeCells>
  <hyperlinks>
    <hyperlink ref="B36" r:id="rId1" display="Alpha Spread: TITAN DCF base case (forecast assumptions, market data), retrieved 26-Sep-2026" xr:uid="{3558C2F1-5FE1-41B1-B70F-ACB0DFDADE73}"/>
    <hyperlink ref="B37" r:id="rId2" xr:uid="{A5BDFF46-22F3-499A-B294-118B2875235F}"/>
  </hyperlinks>
  <pageMargins left="0.7" right="0.7" top="0.75" bottom="0.75" header="0.3" footer="0.3"/>
  <pageSetup scale="86" fitToHeight="0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13</vt:i4>
      </vt:variant>
    </vt:vector>
  </HeadingPairs>
  <TitlesOfParts>
    <vt:vector size="15" baseType="lpstr">
      <vt:lpstr>DCF</vt:lpstr>
      <vt:lpstr>Data</vt:lpstr>
      <vt:lpstr>ConstGrowth</vt:lpstr>
      <vt:lpstr>DiscountRate</vt:lpstr>
      <vt:lpstr>ExitMultiple</vt:lpstr>
      <vt:lpstr>GrowthMode</vt:lpstr>
      <vt:lpstr>MarginEnd</vt:lpstr>
      <vt:lpstr>MarginStart</vt:lpstr>
      <vt:lpstr>NetAdj</vt:lpstr>
      <vt:lpstr>Price</vt:lpstr>
      <vt:lpstr>PriceDate</vt:lpstr>
      <vt:lpstr>DCF!Print_Area</vt:lpstr>
      <vt:lpstr>Shares</vt:lpstr>
      <vt:lpstr>StubFraction</vt:lpstr>
      <vt:lpstr>ValuePerShare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Titan Company Ltd - DCF Valuation</dc:title>
  <dc:subject>DCF valuation (via net income), base case</dc:subject>
  <dc:creator>Daksh Chaudhary</dc:creator>
  <cp:lastModifiedBy>Daksh Chaudhary</cp:lastModifiedBy>
  <dcterms:created xsi:type="dcterms:W3CDTF">2026-09-26T17:34:22Z</dcterms:created>
  <dcterms:modified xsi:type="dcterms:W3CDTF">2026-09-27T09:51:57Z</dcterms:modified>
</cp:coreProperties>
</file>