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\OneDrive\certificates\titan dcf\"/>
    </mc:Choice>
  </mc:AlternateContent>
  <xr:revisionPtr revIDLastSave="0" documentId="13_ncr:1_{70B8CBBE-C112-41C5-B33D-38E8E2C577E7}" xr6:coauthVersionLast="47" xr6:coauthVersionMax="47" xr10:uidLastSave="{00000000-0000-0000-0000-000000000000}"/>
  <bookViews>
    <workbookView xWindow="-98" yWindow="-98" windowWidth="19396" windowHeight="10276" activeTab="1" xr2:uid="{2C5E61F9-C5A3-4B70-8566-2B3C293FBA96}"/>
  </bookViews>
  <sheets>
    <sheet name="FCFF DCF" sheetId="3" r:id="rId1"/>
    <sheet name="Valuation" sheetId="1" r:id="rId2"/>
    <sheet name="Data" sheetId="2" r:id="rId3"/>
  </sheets>
  <definedNames>
    <definedName name="ConstGrowth">Valuation!$C$28</definedName>
    <definedName name="DiscountRate">Valuation!$C$31</definedName>
    <definedName name="ExitMultiple">Valuation!$C$32</definedName>
    <definedName name="FcffValuePerShare">'FCFF DCF'!$C$84</definedName>
    <definedName name="GrowthMode">Valuation!$C$27</definedName>
    <definedName name="MarginEnd">Valuation!$C$30</definedName>
    <definedName name="MarginStart">Valuation!$C$29</definedName>
    <definedName name="NetAdj">Valuation!$C$33</definedName>
    <definedName name="Price">Valuation!$C$25</definedName>
    <definedName name="PriceDate">Valuation!$C$34</definedName>
    <definedName name="_xlnm.Print_Area" localSheetId="1">Valuation!$A$1:$AD$90</definedName>
    <definedName name="Shares">Valuation!$C$26</definedName>
    <definedName name="StubFraction">Valuation!$C$35</definedName>
    <definedName name="ValuePerShare">Valuation!$C$66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72" i="3" l="1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I63" i="3"/>
  <c r="J63" i="3" s="1"/>
  <c r="C50" i="3"/>
  <c r="C51" i="3" s="1"/>
  <c r="C49" i="3"/>
  <c r="C48" i="3"/>
  <c r="C58" i="3" s="1"/>
  <c r="C82" i="3" s="1"/>
  <c r="I45" i="3"/>
  <c r="H45" i="3"/>
  <c r="G45" i="3"/>
  <c r="C56" i="3" s="1"/>
  <c r="I41" i="3"/>
  <c r="I43" i="3" s="1"/>
  <c r="H41" i="3"/>
  <c r="H43" i="3" s="1"/>
  <c r="H44" i="3" s="1"/>
  <c r="G41" i="3"/>
  <c r="G43" i="3" s="1"/>
  <c r="G44" i="3" s="1"/>
  <c r="F41" i="3"/>
  <c r="F42" i="3" s="1"/>
  <c r="E41" i="3"/>
  <c r="E42" i="3" s="1"/>
  <c r="D41" i="3"/>
  <c r="D42" i="3" s="1"/>
  <c r="I40" i="3"/>
  <c r="H40" i="3"/>
  <c r="G40" i="3"/>
  <c r="F40" i="3"/>
  <c r="E40" i="3"/>
  <c r="D40" i="3"/>
  <c r="I38" i="3"/>
  <c r="I39" i="3" s="1"/>
  <c r="H38" i="3"/>
  <c r="H39" i="3" s="1"/>
  <c r="G38" i="3"/>
  <c r="G39" i="3" s="1"/>
  <c r="F38" i="3"/>
  <c r="F39" i="3" s="1"/>
  <c r="E38" i="3"/>
  <c r="E39" i="3" s="1"/>
  <c r="C15" i="3" s="1"/>
  <c r="I36" i="3"/>
  <c r="I37" i="3" s="1"/>
  <c r="H36" i="3"/>
  <c r="H37" i="3" s="1"/>
  <c r="G36" i="3"/>
  <c r="G37" i="3" s="1"/>
  <c r="F36" i="3"/>
  <c r="F37" i="3" s="1"/>
  <c r="E36" i="3"/>
  <c r="E37" i="3" s="1"/>
  <c r="C13" i="3" s="1"/>
  <c r="D36" i="3"/>
  <c r="D37" i="3" s="1"/>
  <c r="C10" i="3"/>
  <c r="C8" i="3"/>
  <c r="C6" i="3"/>
  <c r="C52" i="3" s="1"/>
  <c r="C34" i="1"/>
  <c r="C35" i="1" s="1"/>
  <c r="C19" i="3" s="1"/>
  <c r="C13" i="1"/>
  <c r="C12" i="1"/>
  <c r="C7" i="1"/>
  <c r="C103" i="1"/>
  <c r="AC98" i="1"/>
  <c r="AB100" i="1"/>
  <c r="AB99" i="1"/>
  <c r="AB98" i="1"/>
  <c r="AA100" i="1"/>
  <c r="AA99" i="1"/>
  <c r="AA98" i="1"/>
  <c r="Z100" i="1"/>
  <c r="Z99" i="1"/>
  <c r="Z98" i="1"/>
  <c r="Y100" i="1"/>
  <c r="Y99" i="1"/>
  <c r="Y98" i="1"/>
  <c r="X100" i="1"/>
  <c r="X99" i="1"/>
  <c r="X98" i="1"/>
  <c r="W100" i="1"/>
  <c r="W99" i="1"/>
  <c r="W98" i="1"/>
  <c r="V100" i="1"/>
  <c r="V99" i="1"/>
  <c r="V98" i="1"/>
  <c r="U98" i="1"/>
  <c r="T100" i="1"/>
  <c r="T99" i="1"/>
  <c r="T98" i="1"/>
  <c r="S100" i="1"/>
  <c r="S99" i="1"/>
  <c r="S98" i="1"/>
  <c r="R100" i="1"/>
  <c r="R99" i="1"/>
  <c r="R98" i="1"/>
  <c r="Q100" i="1"/>
  <c r="Q99" i="1"/>
  <c r="Q98" i="1"/>
  <c r="P100" i="1"/>
  <c r="P99" i="1"/>
  <c r="P98" i="1"/>
  <c r="O100" i="1"/>
  <c r="O99" i="1"/>
  <c r="O98" i="1"/>
  <c r="N100" i="1"/>
  <c r="N99" i="1"/>
  <c r="N98" i="1"/>
  <c r="M98" i="1"/>
  <c r="L100" i="1"/>
  <c r="L99" i="1"/>
  <c r="L98" i="1"/>
  <c r="K100" i="1"/>
  <c r="K99" i="1"/>
  <c r="K98" i="1"/>
  <c r="J100" i="1"/>
  <c r="J99" i="1"/>
  <c r="J98" i="1"/>
  <c r="I100" i="1"/>
  <c r="I99" i="1"/>
  <c r="I98" i="1"/>
  <c r="H100" i="1"/>
  <c r="H99" i="1"/>
  <c r="H98" i="1"/>
  <c r="G100" i="1"/>
  <c r="G99" i="1"/>
  <c r="G98" i="1"/>
  <c r="F100" i="1"/>
  <c r="F99" i="1"/>
  <c r="F98" i="1"/>
  <c r="E100" i="1"/>
  <c r="E99" i="1"/>
  <c r="E98" i="1"/>
  <c r="D100" i="1"/>
  <c r="D99" i="1"/>
  <c r="D98" i="1"/>
  <c r="C89" i="1"/>
  <c r="C96" i="1" s="1"/>
  <c r="C81" i="1"/>
  <c r="C88" i="1"/>
  <c r="C95" i="1" s="1"/>
  <c r="C80" i="1"/>
  <c r="C87" i="1"/>
  <c r="B94" i="1" s="1"/>
  <c r="C79" i="1"/>
  <c r="C86" i="1"/>
  <c r="C93" i="1" s="1"/>
  <c r="C78" i="1"/>
  <c r="C85" i="1"/>
  <c r="C92" i="1" s="1"/>
  <c r="C77" i="1"/>
  <c r="H84" i="1"/>
  <c r="H76" i="1"/>
  <c r="G84" i="1"/>
  <c r="G76" i="1"/>
  <c r="F84" i="1"/>
  <c r="F76" i="1"/>
  <c r="E84" i="1"/>
  <c r="E76" i="1"/>
  <c r="D84" i="1"/>
  <c r="D76" i="1"/>
  <c r="C67" i="1"/>
  <c r="C65" i="1"/>
  <c r="C63" i="1"/>
  <c r="C59" i="1"/>
  <c r="AC42" i="1"/>
  <c r="Y62" i="3" s="1"/>
  <c r="AB42" i="1"/>
  <c r="X62" i="3" s="1"/>
  <c r="AA42" i="1"/>
  <c r="W62" i="3" s="1"/>
  <c r="Z42" i="1"/>
  <c r="V62" i="3" s="1"/>
  <c r="Y42" i="1"/>
  <c r="U62" i="3" s="1"/>
  <c r="X42" i="1"/>
  <c r="T62" i="3" s="1"/>
  <c r="W42" i="1"/>
  <c r="S62" i="3" s="1"/>
  <c r="V42" i="1"/>
  <c r="R62" i="3" s="1"/>
  <c r="U42" i="1"/>
  <c r="Q62" i="3" s="1"/>
  <c r="T42" i="1"/>
  <c r="P62" i="3" s="1"/>
  <c r="S42" i="1"/>
  <c r="O62" i="3" s="1"/>
  <c r="R42" i="1"/>
  <c r="N62" i="3" s="1"/>
  <c r="Q42" i="1"/>
  <c r="M62" i="3" s="1"/>
  <c r="P42" i="1"/>
  <c r="L62" i="3" s="1"/>
  <c r="O42" i="1"/>
  <c r="K62" i="3" s="1"/>
  <c r="O40" i="1"/>
  <c r="P40" i="1" s="1"/>
  <c r="N42" i="1"/>
  <c r="J62" i="3" s="1"/>
  <c r="M46" i="1"/>
  <c r="M41" i="1"/>
  <c r="L46" i="1"/>
  <c r="L41" i="1"/>
  <c r="K46" i="1"/>
  <c r="K41" i="1"/>
  <c r="J46" i="1"/>
  <c r="J41" i="1"/>
  <c r="I46" i="1"/>
  <c r="I41" i="1"/>
  <c r="H46" i="1"/>
  <c r="H41" i="1"/>
  <c r="G46" i="1"/>
  <c r="G41" i="1"/>
  <c r="F46" i="1"/>
  <c r="F41" i="1"/>
  <c r="E46" i="1"/>
  <c r="E41" i="1"/>
  <c r="D46" i="1"/>
  <c r="D41" i="1"/>
  <c r="E22" i="2"/>
  <c r="E21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E7" i="2"/>
  <c r="C14" i="3" l="1"/>
  <c r="C57" i="3"/>
  <c r="K63" i="3"/>
  <c r="J66" i="3"/>
  <c r="J64" i="3"/>
  <c r="J65" i="3" s="1"/>
  <c r="J72" i="3"/>
  <c r="J70" i="3"/>
  <c r="K70" i="3" s="1"/>
  <c r="L70" i="3" s="1"/>
  <c r="M70" i="3" s="1"/>
  <c r="N70" i="3" s="1"/>
  <c r="O70" i="3" s="1"/>
  <c r="P70" i="3" s="1"/>
  <c r="Q70" i="3" s="1"/>
  <c r="R70" i="3" s="1"/>
  <c r="S70" i="3" s="1"/>
  <c r="T70" i="3" s="1"/>
  <c r="U70" i="3" s="1"/>
  <c r="V70" i="3" s="1"/>
  <c r="W70" i="3" s="1"/>
  <c r="X70" i="3" s="1"/>
  <c r="Y70" i="3" s="1"/>
  <c r="I67" i="3"/>
  <c r="I44" i="3"/>
  <c r="C54" i="3"/>
  <c r="E42" i="1"/>
  <c r="H47" i="1"/>
  <c r="G42" i="3"/>
  <c r="H42" i="3"/>
  <c r="C53" i="3"/>
  <c r="I42" i="3"/>
  <c r="C7" i="3"/>
  <c r="C94" i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K44" i="1"/>
  <c r="L47" i="1"/>
  <c r="G42" i="1"/>
  <c r="B95" i="1"/>
  <c r="E44" i="1"/>
  <c r="H42" i="1"/>
  <c r="I42" i="1"/>
  <c r="N92" i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G47" i="1"/>
  <c r="L44" i="1"/>
  <c r="H44" i="1"/>
  <c r="K42" i="1"/>
  <c r="N52" i="1"/>
  <c r="N53" i="1" s="1"/>
  <c r="L42" i="1"/>
  <c r="I44" i="1"/>
  <c r="O50" i="1"/>
  <c r="N93" i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K47" i="1"/>
  <c r="E47" i="1"/>
  <c r="Q40" i="1"/>
  <c r="Q52" i="1" s="1"/>
  <c r="Q53" i="1" s="1"/>
  <c r="P50" i="1"/>
  <c r="M99" i="1"/>
  <c r="F44" i="1"/>
  <c r="M100" i="1"/>
  <c r="M44" i="1"/>
  <c r="O52" i="1"/>
  <c r="O53" i="1" s="1"/>
  <c r="N95" i="1"/>
  <c r="B96" i="1"/>
  <c r="F42" i="1"/>
  <c r="J44" i="1"/>
  <c r="M42" i="1"/>
  <c r="N96" i="1"/>
  <c r="O96" i="1" s="1"/>
  <c r="P96" i="1" s="1"/>
  <c r="Q96" i="1" s="1"/>
  <c r="R96" i="1" s="1"/>
  <c r="S96" i="1" s="1"/>
  <c r="T96" i="1" s="1"/>
  <c r="M47" i="1"/>
  <c r="J47" i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I47" i="1"/>
  <c r="J42" i="1"/>
  <c r="D44" i="1"/>
  <c r="F47" i="1"/>
  <c r="G44" i="1"/>
  <c r="P52" i="1"/>
  <c r="P53" i="1" s="1"/>
  <c r="B92" i="1"/>
  <c r="N50" i="1"/>
  <c r="B93" i="1"/>
  <c r="C16" i="3" l="1"/>
  <c r="J67" i="3" s="1"/>
  <c r="J68" i="3" s="1"/>
  <c r="C96" i="3"/>
  <c r="C95" i="3"/>
  <c r="C94" i="3"/>
  <c r="C93" i="3"/>
  <c r="C55" i="3"/>
  <c r="C92" i="3"/>
  <c r="J69" i="3"/>
  <c r="K64" i="3"/>
  <c r="K65" i="3" s="1"/>
  <c r="L63" i="3"/>
  <c r="K67" i="3"/>
  <c r="K68" i="3" s="1"/>
  <c r="K66" i="3"/>
  <c r="C104" i="1"/>
  <c r="AC99" i="1"/>
  <c r="U99" i="1"/>
  <c r="O95" i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U96" i="1"/>
  <c r="V96" i="1" s="1"/>
  <c r="W96" i="1" s="1"/>
  <c r="X96" i="1" s="1"/>
  <c r="Y96" i="1" s="1"/>
  <c r="Z96" i="1" s="1"/>
  <c r="AA96" i="1" s="1"/>
  <c r="AB96" i="1" s="1"/>
  <c r="AC96" i="1" s="1"/>
  <c r="Q50" i="1"/>
  <c r="R40" i="1"/>
  <c r="L67" i="3" l="1"/>
  <c r="L68" i="3" s="1"/>
  <c r="L66" i="3"/>
  <c r="L64" i="3"/>
  <c r="L65" i="3" s="1"/>
  <c r="L69" i="3" s="1"/>
  <c r="M63" i="3"/>
  <c r="Q71" i="3"/>
  <c r="O71" i="3"/>
  <c r="S71" i="3"/>
  <c r="K71" i="3"/>
  <c r="K73" i="3" s="1"/>
  <c r="N71" i="3"/>
  <c r="W71" i="3"/>
  <c r="V71" i="3"/>
  <c r="J71" i="3"/>
  <c r="J73" i="3" s="1"/>
  <c r="L71" i="3"/>
  <c r="L73" i="3" s="1"/>
  <c r="Y71" i="3"/>
  <c r="M71" i="3"/>
  <c r="X71" i="3"/>
  <c r="R71" i="3"/>
  <c r="U71" i="3"/>
  <c r="T71" i="3"/>
  <c r="P71" i="3"/>
  <c r="K69" i="3"/>
  <c r="R50" i="1"/>
  <c r="S40" i="1"/>
  <c r="R52" i="1"/>
  <c r="R53" i="1" s="1"/>
  <c r="N63" i="3" l="1"/>
  <c r="M67" i="3"/>
  <c r="M68" i="3" s="1"/>
  <c r="M66" i="3"/>
  <c r="M64" i="3"/>
  <c r="M65" i="3" s="1"/>
  <c r="M69" i="3" s="1"/>
  <c r="M73" i="3" s="1"/>
  <c r="T40" i="1"/>
  <c r="S50" i="1"/>
  <c r="S52" i="1"/>
  <c r="S53" i="1" s="1"/>
  <c r="N66" i="3" l="1"/>
  <c r="N64" i="3"/>
  <c r="N65" i="3" s="1"/>
  <c r="O63" i="3"/>
  <c r="N67" i="3"/>
  <c r="N68" i="3" s="1"/>
  <c r="U40" i="1"/>
  <c r="T50" i="1"/>
  <c r="T52" i="1"/>
  <c r="T53" i="1" s="1"/>
  <c r="N69" i="3" l="1"/>
  <c r="N73" i="3" s="1"/>
  <c r="O67" i="3"/>
  <c r="O68" i="3" s="1"/>
  <c r="O66" i="3"/>
  <c r="O64" i="3"/>
  <c r="O65" i="3" s="1"/>
  <c r="O69" i="3" s="1"/>
  <c r="O73" i="3" s="1"/>
  <c r="P63" i="3"/>
  <c r="U50" i="1"/>
  <c r="V40" i="1"/>
  <c r="U52" i="1"/>
  <c r="U53" i="1" s="1"/>
  <c r="Q63" i="3" l="1"/>
  <c r="P67" i="3"/>
  <c r="P68" i="3" s="1"/>
  <c r="P66" i="3"/>
  <c r="P64" i="3"/>
  <c r="P65" i="3" s="1"/>
  <c r="P69" i="3" s="1"/>
  <c r="P73" i="3" s="1"/>
  <c r="V50" i="1"/>
  <c r="W40" i="1"/>
  <c r="V52" i="1"/>
  <c r="V53" i="1" s="1"/>
  <c r="Q64" i="3" l="1"/>
  <c r="Q65" i="3" s="1"/>
  <c r="R63" i="3"/>
  <c r="Q67" i="3"/>
  <c r="Q68" i="3" s="1"/>
  <c r="Q66" i="3"/>
  <c r="W50" i="1"/>
  <c r="X40" i="1"/>
  <c r="W52" i="1"/>
  <c r="W53" i="1" s="1"/>
  <c r="R67" i="3" l="1"/>
  <c r="R68" i="3" s="1"/>
  <c r="R66" i="3"/>
  <c r="R64" i="3"/>
  <c r="R65" i="3" s="1"/>
  <c r="R69" i="3" s="1"/>
  <c r="R73" i="3" s="1"/>
  <c r="S63" i="3"/>
  <c r="Q69" i="3"/>
  <c r="Q73" i="3" s="1"/>
  <c r="X50" i="1"/>
  <c r="X52" i="1"/>
  <c r="X53" i="1" s="1"/>
  <c r="Y40" i="1"/>
  <c r="T63" i="3" l="1"/>
  <c r="S67" i="3"/>
  <c r="S68" i="3" s="1"/>
  <c r="S66" i="3"/>
  <c r="S64" i="3"/>
  <c r="S65" i="3" s="1"/>
  <c r="S69" i="3" s="1"/>
  <c r="S73" i="3" s="1"/>
  <c r="Z40" i="1"/>
  <c r="Y50" i="1"/>
  <c r="Y52" i="1"/>
  <c r="Y53" i="1" s="1"/>
  <c r="T66" i="3" l="1"/>
  <c r="T64" i="3"/>
  <c r="T65" i="3" s="1"/>
  <c r="U63" i="3"/>
  <c r="T67" i="3"/>
  <c r="T68" i="3" s="1"/>
  <c r="Z50" i="1"/>
  <c r="AA40" i="1"/>
  <c r="Z52" i="1"/>
  <c r="Z53" i="1" s="1"/>
  <c r="U67" i="3" l="1"/>
  <c r="U68" i="3" s="1"/>
  <c r="U66" i="3"/>
  <c r="U64" i="3"/>
  <c r="U65" i="3" s="1"/>
  <c r="U69" i="3" s="1"/>
  <c r="U73" i="3" s="1"/>
  <c r="V63" i="3"/>
  <c r="T69" i="3"/>
  <c r="T73" i="3" s="1"/>
  <c r="AA50" i="1"/>
  <c r="AA52" i="1"/>
  <c r="AA53" i="1" s="1"/>
  <c r="AB40" i="1"/>
  <c r="W63" i="3" l="1"/>
  <c r="V67" i="3"/>
  <c r="V68" i="3" s="1"/>
  <c r="V66" i="3"/>
  <c r="V64" i="3"/>
  <c r="V65" i="3" s="1"/>
  <c r="V69" i="3" s="1"/>
  <c r="V73" i="3" s="1"/>
  <c r="AC40" i="1"/>
  <c r="AB45" i="1" s="1"/>
  <c r="AB44" i="1" s="1"/>
  <c r="AB46" i="1" s="1"/>
  <c r="AB50" i="1"/>
  <c r="AB52" i="1"/>
  <c r="AB53" i="1" s="1"/>
  <c r="W67" i="3" l="1"/>
  <c r="W68" i="3" s="1"/>
  <c r="W66" i="3"/>
  <c r="W64" i="3"/>
  <c r="W65" i="3" s="1"/>
  <c r="W69" i="3" s="1"/>
  <c r="W73" i="3" s="1"/>
  <c r="X63" i="3"/>
  <c r="AB51" i="1"/>
  <c r="AB54" i="1" s="1"/>
  <c r="N45" i="1"/>
  <c r="N44" i="1" s="1"/>
  <c r="N46" i="1" s="1"/>
  <c r="C8" i="1"/>
  <c r="AC45" i="1"/>
  <c r="AC44" i="1" s="1"/>
  <c r="AC46" i="1" s="1"/>
  <c r="AC50" i="1"/>
  <c r="P45" i="1"/>
  <c r="P44" i="1" s="1"/>
  <c r="P46" i="1" s="1"/>
  <c r="AC52" i="1"/>
  <c r="AC53" i="1" s="1"/>
  <c r="C61" i="1" s="1"/>
  <c r="O45" i="1"/>
  <c r="O44" i="1" s="1"/>
  <c r="O46" i="1" s="1"/>
  <c r="C6" i="1"/>
  <c r="Q45" i="1"/>
  <c r="Q44" i="1" s="1"/>
  <c r="Q46" i="1" s="1"/>
  <c r="R45" i="1"/>
  <c r="R44" i="1" s="1"/>
  <c r="R46" i="1" s="1"/>
  <c r="S45" i="1"/>
  <c r="S44" i="1" s="1"/>
  <c r="S46" i="1" s="1"/>
  <c r="T45" i="1"/>
  <c r="T44" i="1" s="1"/>
  <c r="T46" i="1" s="1"/>
  <c r="U45" i="1"/>
  <c r="U44" i="1" s="1"/>
  <c r="U46" i="1" s="1"/>
  <c r="V45" i="1"/>
  <c r="V44" i="1" s="1"/>
  <c r="V46" i="1" s="1"/>
  <c r="W45" i="1"/>
  <c r="W44" i="1" s="1"/>
  <c r="W46" i="1" s="1"/>
  <c r="X45" i="1"/>
  <c r="X44" i="1" s="1"/>
  <c r="X46" i="1" s="1"/>
  <c r="Y45" i="1"/>
  <c r="Y44" i="1" s="1"/>
  <c r="Y46" i="1" s="1"/>
  <c r="Z45" i="1"/>
  <c r="Z44" i="1" s="1"/>
  <c r="Z46" i="1" s="1"/>
  <c r="AA45" i="1"/>
  <c r="AA44" i="1" s="1"/>
  <c r="AA46" i="1" s="1"/>
  <c r="Y63" i="3" l="1"/>
  <c r="X67" i="3"/>
  <c r="X68" i="3" s="1"/>
  <c r="X66" i="3"/>
  <c r="X64" i="3"/>
  <c r="X65" i="3" s="1"/>
  <c r="X69" i="3" s="1"/>
  <c r="X73" i="3" s="1"/>
  <c r="C101" i="1"/>
  <c r="V47" i="1"/>
  <c r="U51" i="1"/>
  <c r="U54" i="1" s="1"/>
  <c r="AB47" i="1"/>
  <c r="AA51" i="1"/>
  <c r="AA54" i="1" s="1"/>
  <c r="T47" i="1"/>
  <c r="S51" i="1"/>
  <c r="S54" i="1" s="1"/>
  <c r="R51" i="1"/>
  <c r="R54" i="1" s="1"/>
  <c r="S47" i="1"/>
  <c r="Z47" i="1"/>
  <c r="Y51" i="1"/>
  <c r="Y54" i="1" s="1"/>
  <c r="U47" i="1"/>
  <c r="T51" i="1"/>
  <c r="T54" i="1" s="1"/>
  <c r="R47" i="1"/>
  <c r="Q51" i="1"/>
  <c r="Q54" i="1" s="1"/>
  <c r="Q47" i="1"/>
  <c r="P51" i="1"/>
  <c r="P54" i="1" s="1"/>
  <c r="AA47" i="1"/>
  <c r="Z51" i="1"/>
  <c r="Z54" i="1" s="1"/>
  <c r="Y47" i="1"/>
  <c r="X51" i="1"/>
  <c r="X54" i="1" s="1"/>
  <c r="W47" i="1"/>
  <c r="V51" i="1"/>
  <c r="V54" i="1" s="1"/>
  <c r="P47" i="1"/>
  <c r="O51" i="1"/>
  <c r="O54" i="1" s="1"/>
  <c r="H87" i="1"/>
  <c r="H85" i="1"/>
  <c r="D85" i="1"/>
  <c r="F85" i="1"/>
  <c r="G87" i="1"/>
  <c r="G86" i="1"/>
  <c r="D86" i="1"/>
  <c r="E88" i="1"/>
  <c r="F87" i="1"/>
  <c r="G88" i="1"/>
  <c r="G89" i="1"/>
  <c r="E86" i="1"/>
  <c r="F89" i="1"/>
  <c r="D89" i="1"/>
  <c r="H89" i="1"/>
  <c r="H88" i="1"/>
  <c r="E89" i="1"/>
  <c r="E85" i="1"/>
  <c r="E87" i="1"/>
  <c r="G85" i="1"/>
  <c r="H86" i="1"/>
  <c r="F86" i="1"/>
  <c r="D88" i="1"/>
  <c r="F88" i="1"/>
  <c r="D87" i="1"/>
  <c r="C58" i="1"/>
  <c r="C60" i="1" s="1"/>
  <c r="C62" i="1" s="1"/>
  <c r="AC51" i="1"/>
  <c r="AC54" i="1" s="1"/>
  <c r="C105" i="1"/>
  <c r="C102" i="1"/>
  <c r="AC100" i="1"/>
  <c r="U100" i="1"/>
  <c r="N51" i="1"/>
  <c r="N47" i="1"/>
  <c r="O47" i="1"/>
  <c r="W51" i="1"/>
  <c r="W54" i="1" s="1"/>
  <c r="X47" i="1"/>
  <c r="AC47" i="1"/>
  <c r="C77" i="3" l="1"/>
  <c r="C78" i="3" s="1"/>
  <c r="C79" i="3" s="1"/>
  <c r="Y67" i="3"/>
  <c r="Y68" i="3" s="1"/>
  <c r="Y66" i="3"/>
  <c r="Y64" i="3"/>
  <c r="Y65" i="3" s="1"/>
  <c r="Y69" i="3" s="1"/>
  <c r="Y73" i="3" s="1"/>
  <c r="C76" i="3" s="1"/>
  <c r="H80" i="1"/>
  <c r="D79" i="1"/>
  <c r="H77" i="1"/>
  <c r="E77" i="1"/>
  <c r="G80" i="1"/>
  <c r="G77" i="1"/>
  <c r="G78" i="1"/>
  <c r="H81" i="1"/>
  <c r="F80" i="1"/>
  <c r="H78" i="1"/>
  <c r="F77" i="1"/>
  <c r="G81" i="1"/>
  <c r="E80" i="1"/>
  <c r="N54" i="1"/>
  <c r="C57" i="1" s="1"/>
  <c r="C64" i="1" s="1"/>
  <c r="F81" i="1"/>
  <c r="D80" i="1"/>
  <c r="F78" i="1"/>
  <c r="D77" i="1"/>
  <c r="E81" i="1"/>
  <c r="E78" i="1"/>
  <c r="H79" i="1"/>
  <c r="D81" i="1"/>
  <c r="G79" i="1"/>
  <c r="D78" i="1"/>
  <c r="F79" i="1"/>
  <c r="E79" i="1"/>
  <c r="C87" i="3" l="1"/>
  <c r="C80" i="3"/>
  <c r="C70" i="1"/>
  <c r="C66" i="1"/>
  <c r="C88" i="3" s="1"/>
  <c r="C81" i="3" l="1"/>
  <c r="C83" i="3" s="1"/>
  <c r="C84" i="3" s="1"/>
  <c r="B17" i="1"/>
  <c r="C68" i="1"/>
  <c r="B18" i="1" s="1"/>
  <c r="C91" i="3" l="1"/>
  <c r="C85" i="3"/>
  <c r="C86" i="3"/>
  <c r="C69" i="1"/>
  <c r="C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Daksh Chaudhary</author>
  </authors>
  <commentList>
    <comment ref="B43" authorId="0" shapeId="0" xr:uid="{C0AB9709-A016-4CD4-9A23-1ABB0146BEE3}">
      <text>
        <r>
          <rPr>
            <b/>
            <sz val="9"/>
            <color indexed="81"/>
            <rFont val="Tahoma"/>
            <family val="2"/>
          </rPr>
          <t>FY2027-FY2029: analyst estimates (FY2027 includes the reported Q1). FY2030-FY2042: S-curve fade g = 17.04% + (6.95% - 17.04%) x (3x^2 - 2x^3), x = (year - 2029)/13; this replaces the analysts' 7.22% FY2030 estimate. CAGR FY2026-FY2042 = 12.6%.</t>
        </r>
      </text>
    </comment>
    <comment ref="B45" authorId="0" shapeId="0" xr:uid="{AEACEFC3-4C24-457B-9119-5E4BBE11996B}">
      <text>
        <r>
          <rPr>
            <b/>
            <sz val="9"/>
            <color indexed="81"/>
            <rFont val="Tahoma"/>
            <family val="2"/>
          </rPr>
          <t>Weight = 3x^2 - 2x^3 with x = t/16. Margin = start + (end - start) x weight, so FY2042 margin = end value.</t>
        </r>
      </text>
    </comment>
  </commentList>
</comments>
</file>

<file path=xl/sharedStrings.xml><?xml version="1.0" encoding="utf-8"?>
<sst xmlns="http://schemas.openxmlformats.org/spreadsheetml/2006/main" count="302" uniqueCount="241">
  <si>
    <t>Titan Company Ltd (NSE: TITAN): source data &amp; notes</t>
  </si>
  <si>
    <t>Blue = hard-coded source data. ₹ crore; fiscal years end 31 March (2026 = Apr-2025 to Mar-2026).</t>
  </si>
  <si>
    <t>HISTORICAL FINANCIALS, CONSOLIDATED (₹ crore)</t>
  </si>
  <si>
    <t>Fiscal year</t>
  </si>
  <si>
    <t>Revenue</t>
  </si>
  <si>
    <t>Net income</t>
  </si>
  <si>
    <t>Net margin</t>
  </si>
  <si>
    <t>Revenue growth</t>
  </si>
  <si>
    <t>NI growth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</si>
  <si>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</si>
  <si>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</si>
  <si>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</si>
  <si>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</si>
  <si>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</si>
  <si>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</si>
  <si>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</si>
  <si>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</si>
  <si>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</si>
  <si>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</si>
  <si>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company filings (consolidated), via Alpha Spread and Screener.in, retrieved 26-Sep-2026. Revenue = revenue from operations; net income = profit attributable to shareholders.</t>
  </si>
  <si>
    <t>LATEST REPORTED QUARTER (₹ crore)</t>
  </si>
  <si>
    <t>Quarter</t>
  </si>
  <si>
    <t>Q1 FY2027 (Apr–Jun 2026)</t>
  </si>
  <si>
    <t>Q1 FY2026 (Apr–Jun 2025)</t>
  </si>
  <si>
    <t>METHODOLOGY</t>
  </si>
  <si>
    <t>3. Net margin: fades on an S-curve (weight 3x² – 2x³, x = t/16) from 6.71% to 6.63% by FY2042.</t>
  </si>
  <si>
    <t>5. Discount rate: 10.26% cost of equity. Explicit forecast: FY2028–FY2042 (15 years) plus the FY2027 stub.</t>
  </si>
  <si>
    <t>6. Terminal value: FY2042 net income × 26.52x exit P/E, discounted with the FY2042 factor.</t>
  </si>
  <si>
    <t>SOURCES</t>
  </si>
  <si>
    <t>Screener.in: Titan Company consolidated financials</t>
  </si>
  <si>
    <t>For education and analysis only; not investment advice.</t>
  </si>
  <si>
    <t>1   INPUTS &amp; ASSUMPTIONS</t>
  </si>
  <si>
    <t>Current share price (₹)</t>
  </si>
  <si>
    <t>Diluted shares outstanding (mn)</t>
  </si>
  <si>
    <t>Diluted share count (basic ≈ 887.8 mn)</t>
  </si>
  <si>
    <t>Revenue growth mode</t>
  </si>
  <si>
    <t>Base case (per year)</t>
  </si>
  <si>
    <t>Base case = per-year path in row 43; Constant CAGR = C28 in every year</t>
  </si>
  <si>
    <t>Constant revenue growth (CAGR mode only)</t>
  </si>
  <si>
    <t>Used only in Constant CAGR mode</t>
  </si>
  <si>
    <t>Net margin, start (fade anchor)</t>
  </si>
  <si>
    <t>Fades along an S-curve to the FY2042 margin</t>
  </si>
  <si>
    <t>Net margin, end (FY2042)</t>
  </si>
  <si>
    <t>Long-term net margin</t>
  </si>
  <si>
    <t>Discount rate (cost of equity)</t>
  </si>
  <si>
    <t>Required return on equity</t>
  </si>
  <si>
    <t>Exit multiple (P/E on FY2042 net income)</t>
  </si>
  <si>
    <t>Terminal P/E applied to FY2042 net income</t>
  </si>
  <si>
    <t>Net adjustments / equity bridge (₹ bn)</t>
  </si>
  <si>
    <t>Cash / debt adjustments (none applied)</t>
  </si>
  <si>
    <t>Share of FY2027 still ahead (stub)</t>
  </si>
  <si>
    <t>2   FORECAST  (₹ bn; fiscal years end 31 March)</t>
  </si>
  <si>
    <t>Unit</t>
  </si>
  <si>
    <t>Period</t>
  </si>
  <si>
    <t>Forecast year (t)</t>
  </si>
  <si>
    <t>Revenue growth, base case (input)</t>
  </si>
  <si>
    <t>% input</t>
  </si>
  <si>
    <t>%</t>
  </si>
  <si>
    <t>₹ bn</t>
  </si>
  <si>
    <t>Net income growth</t>
  </si>
  <si>
    <t>Margin fade weight (S-curve, 0 → 1)</t>
  </si>
  <si>
    <t>weight</t>
  </si>
  <si>
    <t>Actual</t>
  </si>
  <si>
    <t>2027</t>
  </si>
  <si>
    <t>Forecast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</si>
  <si>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</si>
  <si>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</si>
  <si>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</si>
  <si>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</si>
  <si>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</si>
  <si>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</si>
  <si>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</si>
  <si>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</si>
  <si>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</si>
  <si>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</si>
  <si>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</si>
  <si>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</si>
  <si>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</si>
  <si>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</si>
  <si>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</si>
  <si>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3   DISCOUNTING  (cash flow to equity = net income)</t>
  </si>
  <si>
    <t>Present value</t>
  </si>
  <si>
    <t>Discount factor = 1 / (1 + r)^period</t>
  </si>
  <si>
    <t>factor</t>
  </si>
  <si>
    <t>Discount period (years from valuation date)</t>
  </si>
  <si>
    <t>years</t>
  </si>
  <si>
    <t>Cash flow to equity (net income × share)</t>
  </si>
  <si>
    <t>Share of fiscal year counted</t>
  </si>
  <si>
    <t>share</t>
  </si>
  <si>
    <t>4   VALUATION</t>
  </si>
  <si>
    <t>PV of forecast cash flows (₹ bn)</t>
  </si>
  <si>
    <t>FY2042 net income (₹ bn)</t>
  </si>
  <si>
    <t>Exit multiple (P/E)</t>
  </si>
  <si>
    <t>Terminal value at FY2042 (₹ bn)</t>
  </si>
  <si>
    <t>Discount factor for FY2042</t>
  </si>
  <si>
    <t>PV of terminal value (₹ bn)</t>
  </si>
  <si>
    <t>Equity value (₹ bn)</t>
  </si>
  <si>
    <t>Diluted shares (mn)</t>
  </si>
  <si>
    <t>Verdict</t>
  </si>
  <si>
    <t>Terminal value as % of equity value</t>
  </si>
  <si>
    <t>Discount rate (rows) × exit P/E (columns)</t>
  </si>
  <si>
    <t>Revenue growth shift vs current path, every year (rows) × FY2042 net margin (columns)</t>
  </si>
  <si>
    <t>Rate step</t>
  </si>
  <si>
    <t>P/E step</t>
  </si>
  <si>
    <t>Growth step</t>
  </si>
  <si>
    <t>Margin step</t>
  </si>
  <si>
    <t>r  \  P/E →</t>
  </si>
  <si>
    <t>Δ growth  \  margin →</t>
  </si>
  <si>
    <t>→ base case</t>
  </si>
  <si>
    <t>Workings for the sensitivity table and chart</t>
  </si>
  <si>
    <t>Chart: forecast shading (1 = forecast year)</t>
  </si>
  <si>
    <t>Chart: revenue CAGR guide line (₹ bn)</t>
  </si>
  <si>
    <t>Chart: net income CAGR guide line (₹ bn)</t>
  </si>
  <si>
    <t>Chart label: revenue CAGR</t>
  </si>
  <si>
    <t>Chart label: net income CAGR</t>
  </si>
  <si>
    <t>Chart title</t>
  </si>
  <si>
    <t>Chart legend: revenue</t>
  </si>
  <si>
    <t>Chart legend: net income</t>
  </si>
  <si>
    <t>MODEL SETTINGS</t>
  </si>
  <si>
    <t>VALUATION RESULT</t>
  </si>
  <si>
    <t>Revenue Growth</t>
  </si>
  <si>
    <t>Net Margin</t>
  </si>
  <si>
    <t>Forecast Period</t>
  </si>
  <si>
    <t>Template</t>
  </si>
  <si>
    <t>via Net Income</t>
  </si>
  <si>
    <t>Discount Rate</t>
  </si>
  <si>
    <t>Exit Multiple</t>
  </si>
  <si>
    <t>Blue = input   |   Black = formula   |   Green = link to Data sheet</t>
  </si>
  <si>
    <t>Price date (valuation date)</t>
  </si>
  <si>
    <t>NSE close used for the price in C25; the stub runs from here to 31-Mar-2027</t>
  </si>
  <si>
    <t>Share of FY2027 net income still ahead of the price date; discount periods = stub, stub + 1, … years</t>
  </si>
  <si>
    <t>2. Revenue: FY2026 actual (₹875.8 bn) grows 17.2%, 17.6% and 17.0% in FY2027–FY2029 (analyst estimates), then fades on an S-curve from 17.04% to 6.95% by FY2042. The fade from FY2030 is my own assumption: it replaces the analysts' 7.2% estimate for FY2030. CAGR FY2026–FY2042: 12.6%.</t>
  </si>
  <si>
    <t>Alpha Spread: TITAN DCF base case (forecast assumptions to FY2029, cost of equity, exit multiple), retrieved 26-Sep-2026</t>
  </si>
  <si>
    <t>Last close as of 1-Oct-2026 (NSE: TITAN)</t>
  </si>
  <si>
    <t>Titan Company Ltd (NSE: TITAN): Discounted-Earnings Valuation</t>
  </si>
  <si>
    <t>Prepared by Daksh Chaudhary · updated 4-Oct-2026 · Base case, via Net Income · ₹ bn unless stated</t>
  </si>
  <si>
    <t>VALUATION ASSUMPTIONS</t>
  </si>
  <si>
    <t>VALUE PER SHARE</t>
  </si>
  <si>
    <t>Value per share (₹)</t>
  </si>
  <si>
    <t>Value vs price: upside / (downside)</t>
  </si>
  <si>
    <t>5   SENSITIVITY: VALUE PER SHARE (₹)</t>
  </si>
  <si>
    <t>Source: Screener.in quarterly results (consolidated). The FY2027 estimate includes this reported Q1; the model values the stock as of the price date (1-Oct-2026) and counts the remaining 50% of FY2027.</t>
  </si>
  <si>
    <t>1. Discounted earnings: each year's net income is treated as the cash flow to equity. Equity value = PV of net income + PV of terminal value + net adjustments (none). This is not a free-cash-flow DCF; see the FCFF DCF sheet.</t>
  </si>
  <si>
    <t>4. Timing: valuation date = price date (1-Oct-2026). The remaining 50% of FY2027 net income is counted; cash flows are discounted to each 31-March year-end (0.50, 1.50, … years).</t>
  </si>
  <si>
    <t>7. Value per share: equity value / 890 mn diluted shares = ₹4,057.51, 10.1% below the ₹4,515.70 market price (NSE close, 1-Oct-2026).</t>
  </si>
  <si>
    <t>Yahoo Finance: TITAN.NS close of Rs 4,515.70 on 1-Oct-2026</t>
  </si>
  <si>
    <t>Titan Company Ltd (NSE: TITAN): Free Cash Flow (FCFF) DCF</t>
  </si>
  <si>
    <t>Prepared by Daksh Chaudhary · 4-Oct-2026 · ₹ crore unless stated · same revenue path, price date and cost of equity as the Valuation sheet · Blue = input</t>
  </si>
  <si>
    <t>1   INPUTS</t>
  </si>
  <si>
    <t>Share price (₹)</t>
  </si>
  <si>
    <t>Linked to the Valuation sheet</t>
  </si>
  <si>
    <t>Price date</t>
  </si>
  <si>
    <t>NSE close; the stub runs from here to 31-Mar-2027</t>
  </si>
  <si>
    <t>Tax rate</t>
  </si>
  <si>
    <t>Indian corporate rate under the new regime (25.17%)</t>
  </si>
  <si>
    <t>Cost of equity</t>
  </si>
  <si>
    <t>Gold on loan treated as</t>
  </si>
  <si>
    <t>Operating (base) or Debt</t>
  </si>
  <si>
    <t>Operating</t>
  </si>
  <si>
    <t>Gold-loan fee if operating (my assumption)</t>
  </si>
  <si>
    <t>Yearly cost, deducted from EBIT</t>
  </si>
  <si>
    <t>EBIT margin, before gold-loan fee</t>
  </si>
  <si>
    <t>FY2022-FY2026 average</t>
  </si>
  <si>
    <t>D&amp;A, % of sales</t>
  </si>
  <si>
    <t>Capex, % of sales</t>
  </si>
  <si>
    <t>Working capital, % of sales</t>
  </si>
  <si>
    <t>FY2024-FY2026 average (the years with a gold-on-loan split)</t>
  </si>
  <si>
    <t>Terminal growth</t>
  </si>
  <si>
    <t>Nominal, in rupees, after FY2042</t>
  </si>
  <si>
    <t>WACC override (blank = computed)</t>
  </si>
  <si>
    <t>Used by the sensitivity table</t>
  </si>
  <si>
    <t>2   HISTORY (consolidated, ₹ crore; Screener.in, gold on loan from ICICI Direct's Q4FY26 update)</t>
  </si>
  <si>
    <t>Sales</t>
  </si>
  <si>
    <t>Profit before tax</t>
  </si>
  <si>
    <t>Interest</t>
  </si>
  <si>
    <t>Other income</t>
  </si>
  <si>
    <t>Depreciation</t>
  </si>
  <si>
    <t>Net block</t>
  </si>
  <si>
    <t>Capital work in progress</t>
  </si>
  <si>
    <t>Other assets (incl. inventory, receivables, cash)</t>
  </si>
  <si>
    <t>Other liabilities</t>
  </si>
  <si>
    <t>Cash &amp; bank</t>
  </si>
  <si>
    <t>Borrowings (incl. gold on loan and leases)</t>
  </si>
  <si>
    <t>Gold on loan</t>
  </si>
  <si>
    <t>EBIT = PBT + interest − other income</t>
  </si>
  <si>
    <t>EBIT margin</t>
  </si>
  <si>
    <t>Capex = Δ net block + Δ CWIP + depreciation</t>
  </si>
  <si>
    <t>Working capital, gold on loan as debt = other assets − cash − other liabilities</t>
  </si>
  <si>
    <t xml:space="preserve">  % of sales</t>
  </si>
  <si>
    <t>Working capital, gold on loan as operating = above − gold on loan</t>
  </si>
  <si>
    <t>Gold on loan, % of sales</t>
  </si>
  <si>
    <t>3   CAPITAL STRUCTURE AND WACC (FY2026 balance sheet, market value of equity)</t>
  </si>
  <si>
    <t>Debt, FY2026</t>
  </si>
  <si>
    <t>Borrowings incl. lease liabilities; gold on loan only if treated as debt</t>
  </si>
  <si>
    <t>Debt, FY2025</t>
  </si>
  <si>
    <t>Interest on that debt, FY2026</t>
  </si>
  <si>
    <t>Reported interest less the assumed gold-loan fee when gold on loan is operating</t>
  </si>
  <si>
    <t>Pre-tax cost of debt</t>
  </si>
  <si>
    <t>Interest / average debt</t>
  </si>
  <si>
    <t>Market value of equity</t>
  </si>
  <si>
    <t>Price × diluted shares</t>
  </si>
  <si>
    <t>Debt weight</t>
  </si>
  <si>
    <t>WACC (computed)</t>
  </si>
  <si>
    <t>WACC used</t>
  </si>
  <si>
    <t>Gold-loan fee, % of sales</t>
  </si>
  <si>
    <t>EBIT margin after the gold-loan fee</t>
  </si>
  <si>
    <t>Net debt, FY2026</t>
  </si>
  <si>
    <t>Debt less cash &amp; bank (investments not counted)</t>
  </si>
  <si>
    <t>4   FREE CASH FLOW FORECAST (₹ crore; fiscal years end 31 March)</t>
  </si>
  <si>
    <t>Revenue growth (Valuation sheet)</t>
  </si>
  <si>
    <t>EBIT, after the gold-loan fee</t>
  </si>
  <si>
    <t>NOPAT = EBIT × (1 − tax)</t>
  </si>
  <si>
    <t>Net capex = sales × (capex % − D&amp;A %)</t>
  </si>
  <si>
    <t>Working capital</t>
  </si>
  <si>
    <t>Increase in working capital</t>
  </si>
  <si>
    <t>Free cash flow to the firm (FCFF)</t>
  </si>
  <si>
    <t>Discount period (years from the price date)</t>
  </si>
  <si>
    <t>Discount factor</t>
  </si>
  <si>
    <t>Share of the year counted</t>
  </si>
  <si>
    <t>PV of FCFF</t>
  </si>
  <si>
    <t>5   VALUATION</t>
  </si>
  <si>
    <t>PV of FCFF, FY2027 stub to FY2042</t>
  </si>
  <si>
    <t>FY2043 sales</t>
  </si>
  <si>
    <t>FY2043 FCFF</t>
  </si>
  <si>
    <t>Terminal value at FY2042 = FCFF FY2043 / (WACC − g)</t>
  </si>
  <si>
    <t>PV of terminal value</t>
  </si>
  <si>
    <t>Enterprise value</t>
  </si>
  <si>
    <t>Less: net debt</t>
  </si>
  <si>
    <t>Equity value</t>
  </si>
  <si>
    <t>FCFF DCF value per share (₹)</t>
  </si>
  <si>
    <t>vs price: upside / (downside)</t>
  </si>
  <si>
    <t>Terminal value as % of enterprise value</t>
  </si>
  <si>
    <t>Terminal value / FY2042 EBITDA</t>
  </si>
  <si>
    <t>Discounted-earnings value (Valuation sheet), for comparison</t>
  </si>
  <si>
    <t>6   SENSITIVITY: FCFF DCF VALUE PER SHARE (₹), WACC (rows) × terminal growth (columns)</t>
  </si>
  <si>
    <t>7   METHOD AND LIMITATIONS</t>
  </si>
  <si>
    <t>FCFF = EBIT × (1 − tax) − (capex − D&amp;A) − increase in working capital. Discounted at the WACC to each 31-March year-end from the price date; only the part of FY2027 still ahead is counted, as on the Valuation sheet.</t>
  </si>
  <si>
    <t>Base case treats gold on loan as operating working-capital funding, as Titan reports it separately from borrowings and ICICI Direct carries it in current liabilities. Its cost (my 2% assumption) is charged against EBIT. Set C11 to Debt to treat it as debt instead.</t>
  </si>
  <si>
    <t>Margins, capex and D&amp;A are five-year averages (FY2022-FY2026); working capital uses FY2024-FY2026, the years with a gold-on-loan split. Capex includes new right-of-use (store lease) assets, so lease liabilities stay in debt.</t>
  </si>
  <si>
    <t>Not adjusted: investments (only cash &amp; bank is netted), minority interests (e.g. Damas), and the FY2027 cash already generated before the price date.</t>
  </si>
  <si>
    <t>Sources: Screener.in consolidated financials (retrieved 1-Oct-2026); ICICI Direct Q4FY26 result update (gold on loan); Titan Q4FY26 results (standalone gold on loan ₹14,314 cr). For education only;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</si>
</sst>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;\(#,##0.0\);&quot;-&quot;"/>
    <numFmt numFmtId="165" formatCode="0.0%;\(0.0%\);&quot;-&quot;"/>
    <numFmt numFmtId="166" formatCode="#,##0;\(#,##0\);&quot;-&quot;"/>
    <numFmt numFmtId="167" formatCode="0.0%"/>
    <numFmt numFmtId="168" formatCode="#,##0.0"/>
    <numFmt numFmtId="169" formatCode="0.000%"/>
    <numFmt numFmtId="170" formatCode="0.00&quot;x&quot;"/>
    <numFmt numFmtId="171" formatCode="0.0000"/>
    <numFmt numFmtId="172" formatCode="0.0&quot;x&quot;"/>
    <numFmt numFmtId="173" formatCode="\+0.0%;\-0.0%;0.0%"/>
    <numFmt numFmtId="174" formatCode="0.00%;\(0.00%\);&quot;-&quot;"/>
    <numFmt numFmtId="175" formatCode="0.000"/>
    <numFmt numFmtId="176" formatCode="0.0&quot;x P/E&quot;"/>
    <numFmt numFmtId="177" formatCode="#,##0.00&quot; INR&quot;"/>
    <numFmt numFmtId="178" formatCode="dd/mmm/yyyy"/>
    <numFmt numFmtId="179" formatCode="d/mmm/yyyy"/>
  </numFmts>
  <fonts count="2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1F2933"/>
      <name val="Arial"/>
      <family val="2"/>
    </font>
    <font>
      <i/>
      <sz val="10"/>
      <color theme="1"/>
      <name val="Arial"/>
      <family val="2"/>
    </font>
    <font>
      <i/>
      <sz val="9"/>
      <color rgb="FF6B7785"/>
      <name val="Arial"/>
      <family val="2"/>
    </font>
    <font>
      <b/>
      <sz val="10"/>
      <color rgb="FFFFFFFF"/>
      <name val="Arial"/>
      <family val="2"/>
    </font>
    <font>
      <b/>
      <sz val="10"/>
      <color rgb="FF1F2933"/>
      <name val="Arial"/>
      <family val="2"/>
    </font>
    <font>
      <sz val="10"/>
      <color rgb="FF0000FF"/>
      <name val="Arial"/>
      <family val="2"/>
    </font>
    <font>
      <i/>
      <sz val="8.5"/>
      <color rgb="FF6B7785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b/>
      <sz val="11"/>
      <color theme="1"/>
      <name val="Arial"/>
      <family val="2"/>
    </font>
    <font>
      <i/>
      <sz val="8.5"/>
      <color rgb="FF2F80ED"/>
      <name val="Arial"/>
      <family val="2"/>
    </font>
    <font>
      <b/>
      <sz val="10"/>
      <color rgb="FF6B7785"/>
      <name val="Arial"/>
      <family val="2"/>
    </font>
    <font>
      <sz val="8.5"/>
      <color rgb="FF6B7785"/>
      <name val="Arial"/>
      <family val="2"/>
    </font>
    <font>
      <b/>
      <i/>
      <sz val="8.5"/>
      <color rgb="FF6B7785"/>
      <name val="Arial"/>
      <family val="2"/>
    </font>
    <font>
      <b/>
      <sz val="8.5"/>
      <color rgb="FF6B7785"/>
      <name val="Arial"/>
      <family val="2"/>
    </font>
    <font>
      <sz val="10"/>
      <color rgb="FF6B7785"/>
      <name val="Arial"/>
      <family val="2"/>
    </font>
    <font>
      <b/>
      <sz val="10"/>
      <color rgb="FF008000"/>
      <name val="Arial"/>
      <family val="2"/>
    </font>
    <font>
      <b/>
      <sz val="9"/>
      <color indexed="81"/>
      <name val="Tahoma"/>
      <family val="2"/>
    </font>
    <font>
      <b/>
      <sz val="16"/>
      <color rgb="FF1F2933"/>
      <name val="Arial"/>
      <family val="2"/>
    </font>
    <font>
      <sz val="9"/>
      <color rgb="FF6B7785"/>
      <name val="Arial"/>
      <family val="2"/>
    </font>
    <font>
      <b/>
      <sz val="9"/>
      <color rgb="FF6B7785"/>
      <name val="Arial"/>
      <family val="2"/>
    </font>
    <font>
      <sz val="10.5"/>
      <color rgb="FF1F2933"/>
      <name val="Arial"/>
      <family val="2"/>
    </font>
    <font>
      <b/>
      <sz val="10.5"/>
      <color rgb="FF1F2933"/>
      <name val="Arial"/>
      <family val="2"/>
    </font>
    <font>
      <b/>
      <sz val="8.5"/>
      <color rgb="FF1F2933"/>
      <name val="Arial"/>
      <family val="2"/>
    </font>
    <font>
      <b/>
      <sz val="20"/>
      <color rgb="FF1F2933"/>
      <name val="Arial"/>
      <family val="2"/>
    </font>
    <font>
      <b/>
      <sz val="10"/>
      <color rgb="FFB423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CF0F4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DE4E4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1F2933"/>
      </bottom>
      <diagonal/>
    </border>
    <border>
      <left/>
      <right/>
      <top style="thin">
        <color rgb="FFECF0F4"/>
      </top>
      <bottom style="thin">
        <color rgb="FFECF0F4"/>
      </bottom>
      <diagonal/>
    </border>
    <border>
      <left/>
      <right/>
      <top style="thin">
        <color rgb="FFECF0F4"/>
      </top>
      <bottom/>
      <diagonal/>
    </border>
    <border>
      <left/>
      <right/>
      <top style="thin">
        <color rgb="FF1F2933"/>
      </top>
      <bottom style="thin">
        <color rgb="FFECF0F4"/>
      </bottom>
      <diagonal/>
    </border>
    <border>
      <left style="thin">
        <color rgb="FFDEE3EA"/>
      </left>
      <right/>
      <top/>
      <bottom/>
      <diagonal/>
    </border>
    <border>
      <left style="thin">
        <color rgb="FFDEE3EA"/>
      </left>
      <right/>
      <top style="thin">
        <color rgb="FFDEE3EA"/>
      </top>
      <bottom style="thin">
        <color rgb="FF1F2933"/>
      </bottom>
      <diagonal/>
    </border>
    <border>
      <left/>
      <right/>
      <top style="thin">
        <color rgb="FFDEE3EA"/>
      </top>
      <bottom style="thin">
        <color rgb="FF1F2933"/>
      </bottom>
      <diagonal/>
    </border>
    <border>
      <left style="thin">
        <color rgb="FFDEE3EA"/>
      </left>
      <right/>
      <top/>
      <bottom style="thin">
        <color rgb="FFDEE3EA"/>
      </bottom>
      <diagonal/>
    </border>
    <border>
      <left/>
      <right/>
      <top/>
      <bottom style="thin">
        <color rgb="FFDEE3EA"/>
      </bottom>
      <diagonal/>
    </border>
    <border>
      <left/>
      <right style="thin">
        <color rgb="FFDEE3EA"/>
      </right>
      <top style="thin">
        <color rgb="FFDEE3EA"/>
      </top>
      <bottom style="thin">
        <color rgb="FF1F2933"/>
      </bottom>
      <diagonal/>
    </border>
    <border>
      <left/>
      <right style="thin">
        <color rgb="FFDEE3EA"/>
      </right>
      <top/>
      <bottom/>
      <diagonal/>
    </border>
    <border>
      <left/>
      <right style="thin">
        <color rgb="FFDEE3EA"/>
      </right>
      <top/>
      <bottom style="thin">
        <color rgb="FFDEE3EA"/>
      </bottom>
      <diagonal/>
    </border>
    <border>
      <left style="thin">
        <color rgb="FF2F80ED"/>
      </left>
      <right style="thin">
        <color rgb="FF2F80ED"/>
      </right>
      <top style="thin">
        <color rgb="FF2F80ED"/>
      </top>
      <bottom style="thin">
        <color rgb="FF2F80ED"/>
      </bottom>
      <diagonal/>
    </border>
    <border>
      <left/>
      <right/>
      <top style="thin">
        <color rgb="FF1F2933"/>
      </top>
      <bottom/>
      <diagonal/>
    </border>
    <border>
      <left/>
      <right style="thin">
        <color rgb="FF8FA1B3"/>
      </right>
      <top/>
      <bottom style="thin">
        <color rgb="FF1F2933"/>
      </bottom>
      <diagonal/>
    </border>
    <border>
      <left/>
      <right style="thin">
        <color rgb="FF8FA1B3"/>
      </right>
      <top/>
      <bottom/>
      <diagonal/>
    </border>
    <border>
      <left/>
      <right style="thin">
        <color rgb="FF8FA1B3"/>
      </right>
      <top style="thin">
        <color rgb="FFECF0F4"/>
      </top>
      <bottom/>
      <diagonal/>
    </border>
    <border>
      <left/>
      <right style="thin">
        <color rgb="FF8FA1B3"/>
      </right>
      <top style="thin">
        <color rgb="FF1F2933"/>
      </top>
      <bottom/>
      <diagonal/>
    </border>
    <border>
      <left style="thin">
        <color rgb="FFDEE3EA"/>
      </left>
      <right/>
      <top style="thin">
        <color rgb="FFDEE3EA"/>
      </top>
      <bottom style="thin">
        <color rgb="FFECF0F4"/>
      </bottom>
      <diagonal/>
    </border>
    <border>
      <left/>
      <right style="thin">
        <color rgb="FFDEE3EA"/>
      </right>
      <top style="thin">
        <color rgb="FFDEE3EA"/>
      </top>
      <bottom style="thin">
        <color rgb="FFECF0F4"/>
      </bottom>
      <diagonal/>
    </border>
    <border>
      <left style="thin">
        <color rgb="FFDEE3EA"/>
      </left>
      <right/>
      <top style="thin">
        <color rgb="FFECF0F4"/>
      </top>
      <bottom style="thin">
        <color rgb="FFECF0F4"/>
      </bottom>
      <diagonal/>
    </border>
    <border>
      <left/>
      <right style="thin">
        <color rgb="FFDEE3EA"/>
      </right>
      <top style="thin">
        <color rgb="FFECF0F4"/>
      </top>
      <bottom style="thin">
        <color rgb="FFECF0F4"/>
      </bottom>
      <diagonal/>
    </border>
    <border>
      <left style="thin">
        <color rgb="FFDEE3EA"/>
      </left>
      <right/>
      <top style="thin">
        <color rgb="FFECF0F4"/>
      </top>
      <bottom style="thin">
        <color rgb="FFDEE3EA"/>
      </bottom>
      <diagonal/>
    </border>
    <border>
      <left/>
      <right style="thin">
        <color rgb="FFDEE3EA"/>
      </right>
      <top style="thin">
        <color rgb="FFECF0F4"/>
      </top>
      <bottom style="thin">
        <color rgb="FFDEE3EA"/>
      </bottom>
      <diagonal/>
    </border>
    <border>
      <left style="thin">
        <color rgb="FFF2C4C4"/>
      </left>
      <right/>
      <top/>
      <bottom/>
      <diagonal/>
    </border>
    <border>
      <left style="thin">
        <color rgb="FFF2C4C4"/>
      </left>
      <right/>
      <top style="thin">
        <color rgb="FFF2C4C4"/>
      </top>
      <bottom/>
      <diagonal/>
    </border>
    <border>
      <left style="thin">
        <color rgb="FFF2C4C4"/>
      </left>
      <right/>
      <top/>
      <bottom style="thin">
        <color rgb="FFF2C4C4"/>
      </bottom>
      <diagonal/>
    </border>
    <border>
      <left/>
      <right style="thin">
        <color rgb="FFF2C4C4"/>
      </right>
      <top style="thin">
        <color rgb="FFF2C4C4"/>
      </top>
      <bottom/>
      <diagonal/>
    </border>
    <border>
      <left/>
      <right style="thin">
        <color rgb="FFF2C4C4"/>
      </right>
      <top/>
      <bottom/>
      <diagonal/>
    </border>
    <border>
      <left/>
      <right style="thin">
        <color rgb="FFF2C4C4"/>
      </right>
      <top/>
      <bottom style="thin">
        <color rgb="FFF2C4C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4" fontId="7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8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6" fontId="7" fillId="0" borderId="0" xfId="0" applyNumberFormat="1" applyFont="1"/>
    <xf numFmtId="167" fontId="0" fillId="0" borderId="0" xfId="0" applyNumberFormat="1"/>
    <xf numFmtId="0" fontId="11" fillId="0" borderId="0" xfId="1" applyFont="1"/>
    <xf numFmtId="10" fontId="7" fillId="3" borderId="0" xfId="0" applyNumberFormat="1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4" fontId="7" fillId="3" borderId="0" xfId="0" applyNumberFormat="1" applyFont="1" applyFill="1" applyAlignment="1">
      <alignment horizontal="right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168" fontId="7" fillId="3" borderId="3" xfId="0" applyNumberFormat="1" applyFont="1" applyFill="1" applyBorder="1" applyAlignment="1">
      <alignment horizontal="right"/>
    </xf>
    <xf numFmtId="49" fontId="7" fillId="3" borderId="3" xfId="0" applyNumberFormat="1" applyFont="1" applyFill="1" applyBorder="1" applyAlignment="1">
      <alignment horizontal="right"/>
    </xf>
    <xf numFmtId="10" fontId="7" fillId="3" borderId="3" xfId="0" applyNumberFormat="1" applyFont="1" applyFill="1" applyBorder="1" applyAlignment="1">
      <alignment horizontal="right"/>
    </xf>
    <xf numFmtId="169" fontId="7" fillId="3" borderId="3" xfId="0" applyNumberFormat="1" applyFont="1" applyFill="1" applyBorder="1" applyAlignment="1">
      <alignment horizontal="right"/>
    </xf>
    <xf numFmtId="170" fontId="7" fillId="3" borderId="3" xfId="0" applyNumberFormat="1" applyFont="1" applyFill="1" applyBorder="1" applyAlignment="1">
      <alignment horizontal="right"/>
    </xf>
    <xf numFmtId="164" fontId="7" fillId="3" borderId="3" xfId="0" applyNumberFormat="1" applyFont="1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171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170" fontId="0" fillId="0" borderId="3" xfId="0" applyNumberFormat="1" applyBorder="1" applyAlignment="1">
      <alignment horizontal="right"/>
    </xf>
    <xf numFmtId="171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1" fillId="0" borderId="3" xfId="0" applyFont="1" applyBorder="1" applyAlignment="1">
      <alignment horizontal="left" indent="1"/>
    </xf>
    <xf numFmtId="168" fontId="0" fillId="0" borderId="0" xfId="0" applyNumberFormat="1" applyAlignment="1">
      <alignment horizontal="right"/>
    </xf>
    <xf numFmtId="0" fontId="1" fillId="4" borderId="4" xfId="0" applyFont="1" applyFill="1" applyBorder="1" applyAlignment="1">
      <alignment horizontal="left" indent="1"/>
    </xf>
    <xf numFmtId="164" fontId="1" fillId="4" borderId="4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4" fontId="12" fillId="4" borderId="4" xfId="0" applyNumberFormat="1" applyFont="1" applyFill="1" applyBorder="1" applyAlignment="1">
      <alignment horizontal="right"/>
    </xf>
    <xf numFmtId="172" fontId="7" fillId="3" borderId="0" xfId="0" applyNumberFormat="1" applyFont="1" applyFill="1"/>
    <xf numFmtId="167" fontId="7" fillId="3" borderId="0" xfId="0" applyNumberFormat="1" applyFont="1" applyFill="1"/>
    <xf numFmtId="0" fontId="8" fillId="0" borderId="0" xfId="0" applyFont="1" applyAlignment="1">
      <alignment horizontal="right"/>
    </xf>
    <xf numFmtId="166" fontId="0" fillId="0" borderId="0" xfId="0" applyNumberFormat="1"/>
    <xf numFmtId="10" fontId="1" fillId="0" borderId="5" xfId="0" applyNumberFormat="1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172" fontId="1" fillId="0" borderId="7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right"/>
    </xf>
    <xf numFmtId="166" fontId="0" fillId="0" borderId="9" xfId="0" applyNumberFormat="1" applyBorder="1"/>
    <xf numFmtId="172" fontId="1" fillId="0" borderId="10" xfId="0" applyNumberFormat="1" applyFont="1" applyBorder="1" applyAlignment="1">
      <alignment horizontal="right"/>
    </xf>
    <xf numFmtId="166" fontId="0" fillId="0" borderId="11" xfId="0" applyNumberFormat="1" applyBorder="1"/>
    <xf numFmtId="166" fontId="0" fillId="0" borderId="12" xfId="0" applyNumberFormat="1" applyBorder="1"/>
    <xf numFmtId="166" fontId="1" fillId="5" borderId="13" xfId="0" applyNumberFormat="1" applyFont="1" applyFill="1" applyBorder="1"/>
    <xf numFmtId="173" fontId="1" fillId="0" borderId="5" xfId="0" applyNumberFormat="1" applyFont="1" applyBorder="1" applyAlignment="1">
      <alignment horizontal="right"/>
    </xf>
    <xf numFmtId="10" fontId="1" fillId="0" borderId="7" xfId="0" applyNumberFormat="1" applyFont="1" applyBorder="1" applyAlignment="1">
      <alignment horizontal="right"/>
    </xf>
    <xf numFmtId="173" fontId="1" fillId="0" borderId="8" xfId="0" applyNumberFormat="1" applyFont="1" applyBorder="1" applyAlignment="1">
      <alignment horizontal="right"/>
    </xf>
    <xf numFmtId="10" fontId="1" fillId="0" borderId="10" xfId="0" applyNumberFormat="1" applyFont="1" applyBorder="1" applyAlignment="1">
      <alignment horizontal="right"/>
    </xf>
    <xf numFmtId="0" fontId="13" fillId="0" borderId="0" xfId="0" applyFont="1"/>
    <xf numFmtId="0" fontId="14" fillId="6" borderId="0" xfId="0" applyFont="1" applyFill="1"/>
    <xf numFmtId="0" fontId="15" fillId="0" borderId="0" xfId="0" applyFont="1"/>
    <xf numFmtId="173" fontId="15" fillId="0" borderId="0" xfId="0" applyNumberFormat="1" applyFont="1"/>
    <xf numFmtId="168" fontId="15" fillId="0" borderId="0" xfId="0" applyNumberFormat="1" applyFont="1"/>
    <xf numFmtId="164" fontId="15" fillId="0" borderId="0" xfId="0" applyNumberFormat="1" applyFont="1"/>
    <xf numFmtId="0" fontId="15" fillId="0" borderId="0" xfId="0" applyFont="1" applyAlignment="1">
      <alignment horizontal="left" indent="1"/>
    </xf>
    <xf numFmtId="49" fontId="6" fillId="0" borderId="1" xfId="0" applyNumberFormat="1" applyFont="1" applyBorder="1" applyAlignment="1">
      <alignment horizontal="right"/>
    </xf>
    <xf numFmtId="49" fontId="6" fillId="5" borderId="1" xfId="0" applyNumberFormat="1" applyFont="1" applyFill="1" applyBorder="1" applyAlignment="1">
      <alignment horizontal="right"/>
    </xf>
    <xf numFmtId="0" fontId="8" fillId="5" borderId="0" xfId="0" applyFont="1" applyFill="1" applyAlignment="1">
      <alignment horizontal="right"/>
    </xf>
    <xf numFmtId="1" fontId="15" fillId="0" borderId="0" xfId="0" applyNumberFormat="1" applyFont="1"/>
    <xf numFmtId="1" fontId="15" fillId="0" borderId="0" xfId="0" applyNumberFormat="1" applyFont="1" applyAlignment="1">
      <alignment horizontal="right"/>
    </xf>
    <xf numFmtId="1" fontId="15" fillId="5" borderId="0" xfId="0" applyNumberFormat="1" applyFont="1" applyFill="1" applyAlignment="1">
      <alignment horizontal="right"/>
    </xf>
    <xf numFmtId="1" fontId="8" fillId="0" borderId="0" xfId="0" applyNumberFormat="1" applyFont="1"/>
    <xf numFmtId="0" fontId="16" fillId="2" borderId="0" xfId="0" applyFont="1" applyFill="1"/>
    <xf numFmtId="0" fontId="17" fillId="0" borderId="1" xfId="0" applyFont="1" applyBorder="1"/>
    <xf numFmtId="165" fontId="3" fillId="0" borderId="0" xfId="0" applyNumberFormat="1" applyFont="1"/>
    <xf numFmtId="174" fontId="0" fillId="0" borderId="0" xfId="0" applyNumberFormat="1"/>
    <xf numFmtId="175" fontId="18" fillId="0" borderId="0" xfId="0" applyNumberFormat="1" applyFont="1"/>
    <xf numFmtId="0" fontId="0" fillId="0" borderId="0" xfId="0" applyAlignment="1">
      <alignment horizontal="left" indent="2"/>
    </xf>
    <xf numFmtId="0" fontId="16" fillId="0" borderId="3" xfId="0" applyFont="1" applyBorder="1"/>
    <xf numFmtId="164" fontId="19" fillId="0" borderId="3" xfId="0" applyNumberFormat="1" applyFont="1" applyBorder="1"/>
    <xf numFmtId="164" fontId="1" fillId="0" borderId="3" xfId="0" applyNumberFormat="1" applyFont="1" applyBorder="1"/>
    <xf numFmtId="0" fontId="1" fillId="0" borderId="14" xfId="0" applyFont="1" applyBorder="1" applyAlignment="1">
      <alignment horizontal="left" indent="1"/>
    </xf>
    <xf numFmtId="0" fontId="8" fillId="0" borderId="14" xfId="0" applyFont="1" applyBorder="1"/>
    <xf numFmtId="0" fontId="0" fillId="0" borderId="14" xfId="0" applyBorder="1"/>
    <xf numFmtId="164" fontId="1" fillId="0" borderId="14" xfId="0" applyNumberFormat="1" applyFont="1" applyBorder="1"/>
    <xf numFmtId="49" fontId="6" fillId="0" borderId="15" xfId="0" applyNumberFormat="1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1" fontId="15" fillId="0" borderId="16" xfId="0" applyNumberFormat="1" applyFont="1" applyBorder="1" applyAlignment="1">
      <alignment horizontal="right"/>
    </xf>
    <xf numFmtId="164" fontId="19" fillId="0" borderId="17" xfId="0" applyNumberFormat="1" applyFont="1" applyBorder="1"/>
    <xf numFmtId="165" fontId="3" fillId="0" borderId="16" xfId="0" applyNumberFormat="1" applyFont="1" applyBorder="1"/>
    <xf numFmtId="0" fontId="0" fillId="0" borderId="16" xfId="0" applyBorder="1"/>
    <xf numFmtId="174" fontId="0" fillId="0" borderId="16" xfId="0" applyNumberFormat="1" applyBorder="1"/>
    <xf numFmtId="0" fontId="5" fillId="2" borderId="16" xfId="0" applyFont="1" applyFill="1" applyBorder="1"/>
    <xf numFmtId="0" fontId="0" fillId="0" borderId="18" xfId="0" applyBorder="1"/>
    <xf numFmtId="0" fontId="0" fillId="7" borderId="0" xfId="0" applyFill="1" applyAlignment="1">
      <alignment vertical="center"/>
    </xf>
    <xf numFmtId="0" fontId="21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4" fillId="8" borderId="19" xfId="0" applyFont="1" applyFill="1" applyBorder="1" applyAlignment="1">
      <alignment horizontal="left" vertical="center" indent="1"/>
    </xf>
    <xf numFmtId="0" fontId="24" fillId="8" borderId="21" xfId="0" applyFont="1" applyFill="1" applyBorder="1" applyAlignment="1">
      <alignment horizontal="left" vertical="center" indent="1"/>
    </xf>
    <xf numFmtId="0" fontId="24" fillId="8" borderId="23" xfId="0" applyFont="1" applyFill="1" applyBorder="1" applyAlignment="1">
      <alignment horizontal="left" vertical="center" indent="1"/>
    </xf>
    <xf numFmtId="167" fontId="25" fillId="8" borderId="20" xfId="0" applyNumberFormat="1" applyFont="1" applyFill="1" applyBorder="1" applyAlignment="1">
      <alignment horizontal="right" vertical="center" indent="1"/>
    </xf>
    <xf numFmtId="0" fontId="25" fillId="8" borderId="22" xfId="0" applyFont="1" applyFill="1" applyBorder="1" applyAlignment="1">
      <alignment horizontal="right" vertical="center" indent="1"/>
    </xf>
    <xf numFmtId="0" fontId="25" fillId="8" borderId="24" xfId="0" applyFont="1" applyFill="1" applyBorder="1" applyAlignment="1">
      <alignment horizontal="right" vertical="center" indent="1"/>
    </xf>
    <xf numFmtId="0" fontId="25" fillId="8" borderId="20" xfId="0" applyFont="1" applyFill="1" applyBorder="1" applyAlignment="1">
      <alignment horizontal="right" vertical="center" indent="1"/>
    </xf>
    <xf numFmtId="167" fontId="25" fillId="8" borderId="22" xfId="0" applyNumberFormat="1" applyFont="1" applyFill="1" applyBorder="1" applyAlignment="1">
      <alignment horizontal="right" vertical="center" indent="1"/>
    </xf>
    <xf numFmtId="176" fontId="25" fillId="8" borderId="24" xfId="0" applyNumberFormat="1" applyFont="1" applyFill="1" applyBorder="1" applyAlignment="1">
      <alignment horizontal="right" vertical="center" indent="1"/>
    </xf>
    <xf numFmtId="0" fontId="0" fillId="9" borderId="28" xfId="0" applyFill="1" applyBorder="1" applyAlignment="1">
      <alignment vertical="center"/>
    </xf>
    <xf numFmtId="0" fontId="0" fillId="9" borderId="30" xfId="0" applyFill="1" applyBorder="1" applyAlignment="1">
      <alignment vertical="center"/>
    </xf>
    <xf numFmtId="0" fontId="26" fillId="9" borderId="26" xfId="0" applyFont="1" applyFill="1" applyBorder="1" applyAlignment="1">
      <alignment horizontal="left" vertical="center" indent="1"/>
    </xf>
    <xf numFmtId="177" fontId="27" fillId="9" borderId="25" xfId="0" applyNumberFormat="1" applyFont="1" applyFill="1" applyBorder="1" applyAlignment="1">
      <alignment horizontal="left" vertical="center" indent="1"/>
    </xf>
    <xf numFmtId="0" fontId="28" fillId="10" borderId="29" xfId="0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left" vertical="center" indent="1"/>
    </xf>
    <xf numFmtId="0" fontId="28" fillId="0" borderId="3" xfId="0" applyFont="1" applyBorder="1" applyAlignment="1">
      <alignment horizontal="right"/>
    </xf>
    <xf numFmtId="0" fontId="8" fillId="7" borderId="0" xfId="0" applyFont="1" applyFill="1" applyAlignment="1">
      <alignment vertical="center"/>
    </xf>
    <xf numFmtId="178" fontId="7" fillId="3" borderId="3" xfId="0" applyNumberFormat="1" applyFont="1" applyFill="1" applyBorder="1" applyAlignment="1">
      <alignment horizontal="right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Font="1"/>
    <xf numFmtId="0" fontId="21" fillId="0" borderId="0" xfId="0" applyFont="1"/>
    <xf numFmtId="0" fontId="22" fillId="0" borderId="0" xfId="0" applyFont="1"/>
    <xf numFmtId="4" fontId="0" fillId="0" borderId="0" xfId="0" applyNumberFormat="1" applyFont="1"/>
    <xf numFmtId="179" fontId="0" fillId="0" borderId="0" xfId="0" applyNumberFormat="1" applyFont="1"/>
    <xf numFmtId="3" fontId="0" fillId="0" borderId="0" xfId="0" applyNumberFormat="1" applyFont="1"/>
    <xf numFmtId="10" fontId="0" fillId="0" borderId="0" xfId="0" applyNumberFormat="1" applyFont="1"/>
    <xf numFmtId="0" fontId="7" fillId="3" borderId="0" xfId="0" applyFont="1" applyFill="1"/>
    <xf numFmtId="175" fontId="0" fillId="0" borderId="0" xfId="0" applyNumberFormat="1" applyFont="1"/>
    <xf numFmtId="1" fontId="1" fillId="5" borderId="0" xfId="0" applyNumberFormat="1" applyFont="1" applyFill="1"/>
    <xf numFmtId="166" fontId="0" fillId="0" borderId="0" xfId="0" applyNumberFormat="1" applyFont="1"/>
    <xf numFmtId="166" fontId="7" fillId="3" borderId="0" xfId="0" applyNumberFormat="1" applyFont="1" applyFill="1"/>
    <xf numFmtId="10" fontId="1" fillId="0" borderId="0" xfId="0" applyNumberFormat="1" applyFont="1"/>
    <xf numFmtId="2" fontId="0" fillId="0" borderId="0" xfId="0" applyNumberFormat="1" applyFont="1"/>
    <xf numFmtId="171" fontId="0" fillId="0" borderId="0" xfId="0" applyNumberFormat="1" applyFont="1"/>
    <xf numFmtId="166" fontId="1" fillId="0" borderId="0" xfId="0" applyNumberFormat="1" applyFont="1"/>
    <xf numFmtId="167" fontId="0" fillId="0" borderId="0" xfId="0" applyNumberFormat="1" applyFont="1"/>
    <xf numFmtId="172" fontId="0" fillId="0" borderId="0" xfId="0" applyNumberFormat="1" applyFont="1"/>
    <xf numFmtId="0" fontId="1" fillId="4" borderId="0" xfId="0" applyFont="1" applyFill="1"/>
    <xf numFmtId="4" fontId="1" fillId="4" borderId="0" xfId="0" applyNumberFormat="1" applyFont="1" applyFill="1"/>
    <xf numFmtId="3" fontId="18" fillId="0" borderId="0" xfId="0" applyNumberFormat="1" applyFont="1"/>
    <xf numFmtId="167" fontId="1" fillId="5" borderId="0" xfId="0" applyNumberFormat="1" applyFont="1" applyFill="1"/>
    <xf numFmtId="10" fontId="1" fillId="5" borderId="0" xfId="0" applyNumberFormat="1" applyFont="1" applyFill="1"/>
    <xf numFmtId="0" fontId="9" fillId="0" borderId="0" xfId="0" applyFont="1"/>
  </cellXfs>
  <cellStyles count="2">
    <cellStyle name="Hyperlink" xfId="1" builtinId="8"/>
    <cellStyle name="Normal" xfId="0" builtinId="0" customBuiltin="1"/>
  </cellStyles>
  <dxfs count="3">
    <dxf>
      <font>
        <color rgb="FF1E7B34"/>
      </font>
    </dxf>
    <dxf>
      <font>
        <color rgb="FF1E7B34"/>
      </font>
      <fill>
        <patternFill>
          <bgColor rgb="FFE2F3E7"/>
        </patternFill>
      </fill>
    </dxf>
    <dxf>
      <fill>
        <patternFill>
          <bgColor rgb="FFF6FC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>
                <a:solidFill>
                  <a:srgbClr val="1F2933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2042 · FORECAST</a:t>
            </a:r>
          </a:p>
        </c:rich>
      </c:tx>
      <c:layout>
        <c:manualLayout>
          <c:xMode val="edge"/>
          <c:yMode val="edge"/>
          <c:x val="2.6845637583892617E-2"/>
          <c:y val="3.64880229979890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4850886927724639E-2"/>
          <c:y val="0.13987075482562483"/>
          <c:w val="0.91275167785234901"/>
          <c:h val="0.73584179712611331"/>
        </c:manualLayout>
      </c:layout>
      <c:barChart>
        <c:barDir val="col"/>
        <c:grouping val="clustered"/>
        <c:varyColors val="0"/>
        <c:ser>
          <c:idx val="0"/>
          <c:order val="0"/>
          <c:tx>
            <c:v>Forecast period</c:v>
          </c:tx>
          <c:spPr>
            <a:solidFill>
              <a:srgbClr val="ECF2FA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50" b="1">
                        <a:solidFill>
                          <a:srgbClr val="6B7785"/>
                        </a:solidFill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Valuation!$D$98:$AC$98</c:f>
              <c:numCache>
                <c:formatCode>#,##0.0;\(#,##0.0\);"-"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15272944"/>
        <c:axId val="1122355120"/>
      </c:barChart>
      <c:barChart>
        <c:barDir val="col"/>
        <c:grouping val="clustered"/>
        <c:varyColors val="0"/>
        <c:ser>
          <c:idx val="1"/>
          <c:order val="1"/>
          <c:tx>
            <c:strRef>
              <c:f>Valuation!$C$104</c:f>
              <c:strCache>
                <c:ptCount val="1"/>
                <c:pt idx="0">
                  <c:v>Revenue  5.9T</c:v>
                </c:pt>
              </c:strCache>
            </c:strRef>
          </c:tx>
          <c:spPr>
            <a:solidFill>
              <a:srgbClr val="8FA1B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0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62D0-4B84-BD4F-B6353C4486E6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4B84-BD4F-B6353C4486E6}"/>
              </c:ext>
            </c:extLst>
          </c:dPt>
          <c:dPt>
            <c:idx val="12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62D0-4B84-BD4F-B6353C4486E6}"/>
              </c:ext>
            </c:extLst>
          </c:dPt>
          <c:dPt>
            <c:idx val="13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4B84-BD4F-B6353C4486E6}"/>
              </c:ext>
            </c:extLst>
          </c:dPt>
          <c:dPt>
            <c:idx val="14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62D0-4B84-BD4F-B6353C4486E6}"/>
              </c:ext>
            </c:extLst>
          </c:dPt>
          <c:dPt>
            <c:idx val="15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D0-4B84-BD4F-B6353C4486E6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62D0-4B84-BD4F-B6353C4486E6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D0-4B84-BD4F-B6353C4486E6}"/>
              </c:ext>
            </c:extLst>
          </c:dPt>
          <c:dPt>
            <c:idx val="18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D0-4B84-BD4F-B6353C4486E6}"/>
              </c:ext>
            </c:extLst>
          </c:dPt>
          <c:dPt>
            <c:idx val="19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D0-4B84-BD4F-B6353C4486E6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D0-4B84-BD4F-B6353C4486E6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D0-4B84-BD4F-B6353C4486E6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D0-4B84-BD4F-B6353C4486E6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D0-4B84-BD4F-B6353C4486E6}"/>
              </c:ext>
            </c:extLst>
          </c:dPt>
          <c:dPt>
            <c:idx val="24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D0-4B84-BD4F-B6353C4486E6}"/>
              </c:ext>
            </c:extLst>
          </c:dPt>
          <c:dPt>
            <c:idx val="25"/>
            <c:invertIfNegative val="0"/>
            <c:bubble3D val="0"/>
            <c:spPr>
              <a:pattFill prst="wdUpDiag">
                <a:fgClr>
                  <a:srgbClr val="8FA1B3"/>
                </a:fgClr>
                <a:bgClr>
                  <a:srgbClr val="FFFFFF"/>
                </a:bgClr>
              </a:pattFill>
              <a:ln w="3175">
                <a:solidFill>
                  <a:srgbClr val="8FA1B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D0-4B84-BD4F-B6353C4486E6}"/>
              </c:ext>
            </c:extLst>
          </c:dPt>
          <c:cat>
            <c:strRef>
              <c:f>Valuation!$D$38:$AC$38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Valuation!$D$41:$AC$41</c:f>
              <c:numCache>
                <c:formatCode>#,##0.0;\(#,##0.0\);"-"</c:formatCode>
                <c:ptCount val="26"/>
                <c:pt idx="0">
                  <c:v>133.821</c:v>
                </c:pt>
                <c:pt idx="1">
                  <c:v>161.56</c:v>
                </c:pt>
                <c:pt idx="2">
                  <c:v>197.785</c:v>
                </c:pt>
                <c:pt idx="3">
                  <c:v>210.51499999999999</c:v>
                </c:pt>
                <c:pt idx="4">
                  <c:v>216.44</c:v>
                </c:pt>
                <c:pt idx="5">
                  <c:v>287.99</c:v>
                </c:pt>
                <c:pt idx="6">
                  <c:v>405.75</c:v>
                </c:pt>
                <c:pt idx="7">
                  <c:v>510.84</c:v>
                </c:pt>
                <c:pt idx="8">
                  <c:v>604.55999999999995</c:v>
                </c:pt>
                <c:pt idx="9">
                  <c:v>875.84</c:v>
                </c:pt>
                <c:pt idx="10">
                  <c:v>1026.4285110860249</c:v>
                </c:pt>
                <c:pt idx="11">
                  <c:v>1207.1745610986927</c:v>
                </c:pt>
                <c:pt idx="12">
                  <c:v>1412.8550816390061</c:v>
                </c:pt>
                <c:pt idx="13">
                  <c:v>1651.1799976889013</c:v>
                </c:pt>
                <c:pt idx="14">
                  <c:v>1921.8977403984352</c:v>
                </c:pt>
                <c:pt idx="15">
                  <c:v>2223.1469182652531</c:v>
                </c:pt>
                <c:pt idx="16">
                  <c:v>2551.3031779742937</c:v>
                </c:pt>
                <c:pt idx="17">
                  <c:v>2901.0733195613188</c:v>
                </c:pt>
                <c:pt idx="18">
                  <c:v>3265.8950680915164</c:v>
                </c:pt>
                <c:pt idx="19">
                  <c:v>3638.6576031520667</c:v>
                </c:pt>
                <c:pt idx="20">
                  <c:v>4012.7017835273391</c:v>
                </c:pt>
                <c:pt idx="21">
                  <c:v>4383.0063641256111</c:v>
                </c:pt>
                <c:pt idx="22">
                  <c:v>4747.4371918144789</c:v>
                </c:pt>
                <c:pt idx="23">
                  <c:v>5107.9475673205443</c:v>
                </c:pt>
                <c:pt idx="24">
                  <c:v>5471.678384982346</c:v>
                </c:pt>
                <c:pt idx="25">
                  <c:v>5852.0147495224683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0-4B84-BD4F-B6353C4486E6}"/>
            </c:ext>
          </c:extLst>
        </c:ser>
        <c:ser>
          <c:idx val="2"/>
          <c:order val="2"/>
          <c:tx>
            <c:strRef>
              <c:f>Valuation!$C$105</c:f>
              <c:strCache>
                <c:ptCount val="1"/>
                <c:pt idx="0">
                  <c:v>Net Income  387.9B</c:v>
                </c:pt>
              </c:strCache>
            </c:strRef>
          </c:tx>
          <c:spPr>
            <a:solidFill>
              <a:srgbClr val="2F80E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0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D0-4B84-BD4F-B6353C4486E6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D0-4B84-BD4F-B6353C4486E6}"/>
              </c:ext>
            </c:extLst>
          </c:dPt>
          <c:dPt>
            <c:idx val="12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D0-4B84-BD4F-B6353C4486E6}"/>
              </c:ext>
            </c:extLst>
          </c:dPt>
          <c:dPt>
            <c:idx val="13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D0-4B84-BD4F-B6353C4486E6}"/>
              </c:ext>
            </c:extLst>
          </c:dPt>
          <c:dPt>
            <c:idx val="14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D0-4B84-BD4F-B6353C4486E6}"/>
              </c:ext>
            </c:extLst>
          </c:dPt>
          <c:dPt>
            <c:idx val="15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D0-4B84-BD4F-B6353C4486E6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D0-4B84-BD4F-B6353C4486E6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D0-4B84-BD4F-B6353C4486E6}"/>
              </c:ext>
            </c:extLst>
          </c:dPt>
          <c:dPt>
            <c:idx val="18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D0-4B84-BD4F-B6353C4486E6}"/>
              </c:ext>
            </c:extLst>
          </c:dPt>
          <c:dPt>
            <c:idx val="19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D0-4B84-BD4F-B6353C4486E6}"/>
              </c:ext>
            </c:extLst>
          </c:dPt>
          <c:dPt>
            <c:idx val="20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D0-4B84-BD4F-B6353C4486E6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D0-4B84-BD4F-B6353C4486E6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D0-4B84-BD4F-B6353C4486E6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D0-4B84-BD4F-B6353C4486E6}"/>
              </c:ext>
            </c:extLst>
          </c:dPt>
          <c:dPt>
            <c:idx val="24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62D0-4B84-BD4F-B6353C4486E6}"/>
              </c:ext>
            </c:extLst>
          </c:dPt>
          <c:dPt>
            <c:idx val="25"/>
            <c:invertIfNegative val="0"/>
            <c:bubble3D val="0"/>
            <c:spPr>
              <a:pattFill prst="wdUpDiag">
                <a:fgClr>
                  <a:srgbClr val="2F80ED"/>
                </a:fgClr>
                <a:bgClr>
                  <a:srgbClr val="FFFFFF"/>
                </a:bgClr>
              </a:pattFill>
              <a:ln w="3175">
                <a:solidFill>
                  <a:srgbClr val="2F80E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5-62D0-4B84-BD4F-B6353C4486E6}"/>
              </c:ext>
            </c:extLst>
          </c:dPt>
          <c:cat>
            <c:strRef>
              <c:f>Valuation!$D$38:$AC$38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Valuation!$D$46:$AC$46</c:f>
              <c:numCache>
                <c:formatCode>#,##0.0;\(#,##0.0\);"-"</c:formatCode>
                <c:ptCount val="26"/>
                <c:pt idx="0">
                  <c:v>7.1150000000000002</c:v>
                </c:pt>
                <c:pt idx="1">
                  <c:v>11.300999999999998</c:v>
                </c:pt>
                <c:pt idx="2">
                  <c:v>14.042</c:v>
                </c:pt>
                <c:pt idx="3">
                  <c:v>15.014000000000001</c:v>
                </c:pt>
                <c:pt idx="4">
                  <c:v>9.73</c:v>
                </c:pt>
                <c:pt idx="5">
                  <c:v>21.73</c:v>
                </c:pt>
                <c:pt idx="6">
                  <c:v>32.5</c:v>
                </c:pt>
                <c:pt idx="7">
                  <c:v>34.96</c:v>
                </c:pt>
                <c:pt idx="8">
                  <c:v>33.369999999999997</c:v>
                </c:pt>
                <c:pt idx="9">
                  <c:v>50.73</c:v>
                </c:pt>
                <c:pt idx="10">
                  <c:v>68.869609549214076</c:v>
                </c:pt>
                <c:pt idx="11">
                  <c:v>80.965377592303938</c:v>
                </c:pt>
                <c:pt idx="12">
                  <c:v>94.702873716468233</c:v>
                </c:pt>
                <c:pt idx="13">
                  <c:v>110.59045706278856</c:v>
                </c:pt>
                <c:pt idx="14">
                  <c:v>128.60212452407438</c:v>
                </c:pt>
                <c:pt idx="15">
                  <c:v>148.60490427785041</c:v>
                </c:pt>
                <c:pt idx="16">
                  <c:v>170.35003279964829</c:v>
                </c:pt>
                <c:pt idx="17">
                  <c:v>193.48073895025564</c:v>
                </c:pt>
                <c:pt idx="18">
                  <c:v>217.5602560920066</c:v>
                </c:pt>
                <c:pt idx="19">
                  <c:v>242.12076305165255</c:v>
                </c:pt>
                <c:pt idx="20">
                  <c:v>266.73026717228083</c:v>
                </c:pt>
                <c:pt idx="21">
                  <c:v>291.07108675633634</c:v>
                </c:pt>
                <c:pt idx="22">
                  <c:v>315.02185823320582</c:v>
                </c:pt>
                <c:pt idx="23">
                  <c:v>338.73597468900942</c:v>
                </c:pt>
                <c:pt idx="24">
                  <c:v>362.71357761089348</c:v>
                </c:pt>
                <c:pt idx="25">
                  <c:v>387.87153759834922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overlap val="-15"/>
        <c:axId val="815276192"/>
        <c:axId val="1122352720"/>
      </c:barChart>
      <c:lineChart>
        <c:grouping val="standard"/>
        <c:varyColors val="0"/>
        <c:ser>
          <c:idx val="3"/>
          <c:order val="3"/>
          <c:tx>
            <c:v>Revenue CAGR</c:v>
          </c:tx>
          <c:spPr>
            <a:ln w="15875">
              <a:solidFill>
                <a:srgbClr val="8FA1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FFFFFF"/>
              </a:solidFill>
              <a:ln w="15875">
                <a:solidFill>
                  <a:srgbClr val="8FA1B3"/>
                </a:solidFill>
                <a:prstDash val="lgDash"/>
              </a:ln>
            </c:spPr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62D0-4B84-BD4F-B6353C4486E6}"/>
              </c:ext>
            </c:extLst>
          </c:dPt>
          <c:dLbls>
            <c:dLbl>
              <c:idx val="17"/>
              <c:tx>
                <c:strRef>
                  <c:f>Valuation!$C$101</c:f>
                  <c:strCache>
                    <c:ptCount val="1"/>
                    <c:pt idx="0">
                      <c:v>12.6% CAGR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solidFill>
                    <a:srgbClr val="DEE3EA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6B7785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{6466E4D0-A3A2-4FDC-BD85-962FE8BB466D}</c15:txfldGUID>
                      <c15:f>Valuation!$C$101</c15:f>
                      <c15:dlblFieldTableCache>
                        <c:ptCount val="1"/>
                        <c:pt idx="0">
                          <c:v>12.6% CAGR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Valuation!$D$99:$AC$99</c:f>
              <c:numCache>
                <c:formatCode>#,##0.0;\(#,##0.0\);"-"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875.84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3363.9273747612342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5852.0147495224683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D0-4B84-BD4F-B6353C4486E6}"/>
            </c:ext>
          </c:extLst>
        </c:ser>
        <c:ser>
          <c:idx val="4"/>
          <c:order val="4"/>
          <c:tx>
            <c:v>Net income CAGR</c:v>
          </c:tx>
          <c:spPr>
            <a:ln w="15875">
              <a:solidFill>
                <a:srgbClr val="2F80ED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FFFFFF"/>
              </a:solidFill>
              <a:ln w="15875">
                <a:solidFill>
                  <a:srgbClr val="2F80ED"/>
                </a:solidFill>
                <a:prstDash val="lgDash"/>
              </a:ln>
            </c:spPr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62D0-4B84-BD4F-B6353C4486E6}"/>
              </c:ext>
            </c:extLst>
          </c:dPt>
          <c:dLbls>
            <c:dLbl>
              <c:idx val="17"/>
              <c:tx>
                <c:strRef>
                  <c:f>Valuation!$C$102</c:f>
                  <c:strCache>
                    <c:ptCount val="1"/>
                    <c:pt idx="0">
                      <c:v>13.6% CAGR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solidFill>
                    <a:srgbClr val="DEE3EA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2F80ED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{CDB661FA-E2A6-4CAF-B4C0-60329D30D69B}</c15:txfldGUID>
                      <c15:f>Valuation!$C$102</c15:f>
                      <c15:dlblFieldTableCache>
                        <c:ptCount val="1"/>
                        <c:pt idx="0">
                          <c:v>13.6% CAGR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62D0-4B84-BD4F-B6353C4486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Valuation!$D$38:$AC$38</c:f>
              <c:strCache>
                <c:ptCount val="2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</c:strCache>
            </c:strRef>
          </c:cat>
          <c:val>
            <c:numRef>
              <c:f>Valuation!$D$100:$AC$100</c:f>
              <c:numCache>
                <c:formatCode>#,##0.0;\(#,##0.0\);"-"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50.73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219.30076879917462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387.87153759834922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0-4B84-BD4F-B6353C448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276192"/>
        <c:axId val="1122352720"/>
      </c:lineChart>
      <c:catAx>
        <c:axId val="8152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EE3EA"/>
            </a:solidFill>
          </a:ln>
        </c:spPr>
        <c:txPr>
          <a:bodyPr rot="-2700000" vert="horz"/>
          <a:lstStyle/>
          <a:p>
            <a:pPr>
              <a:defRPr sz="850">
                <a:solidFill>
                  <a:srgbClr val="6B7785"/>
                </a:solidFill>
              </a:defRPr>
            </a:pPr>
            <a:endParaRPr lang="en-US"/>
          </a:p>
        </c:txPr>
        <c:crossAx val="1122355120"/>
        <c:crosses val="autoZero"/>
        <c:auto val="1"/>
        <c:lblAlgn val="ctr"/>
        <c:lblOffset val="100"/>
        <c:tickLblSkip val="1"/>
        <c:noMultiLvlLbl val="0"/>
      </c:catAx>
      <c:valAx>
        <c:axId val="1122355120"/>
        <c:scaling>
          <c:orientation val="minMax"/>
          <c:max val="1"/>
          <c:min val="0"/>
        </c:scaling>
        <c:delete val="0"/>
        <c:axPos val="l"/>
        <c:numFmt formatCode="#,##0.0;\(#,##0.0\);&quot;-&quot;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815272944"/>
        <c:crosses val="autoZero"/>
        <c:crossBetween val="between"/>
      </c:valAx>
      <c:valAx>
        <c:axId val="1122352720"/>
        <c:scaling>
          <c:orientation val="minMax"/>
          <c:min val="0"/>
        </c:scaling>
        <c:delete val="0"/>
        <c:axPos val="r"/>
        <c:majorGridlines>
          <c:spPr>
            <a:ln w="9525">
              <a:solidFill>
                <a:srgbClr val="ECF0F4"/>
              </a:solidFill>
            </a:ln>
          </c:spPr>
        </c:majorGridlines>
        <c:numFmt formatCode="[=0]&quot;&quot;;[&gt;=1000]0,&quot;T&quot;;0&quot;B&quot;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B7785"/>
                </a:solidFill>
              </a:defRPr>
            </a:pPr>
            <a:endParaRPr lang="en-US"/>
          </a:p>
        </c:txPr>
        <c:crossAx val="815276192"/>
        <c:crosses val="max"/>
        <c:crossBetween val="between"/>
      </c:valAx>
      <c:catAx>
        <c:axId val="81527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2352720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8560023956736948"/>
          <c:y val="3.3465311119054625E-2"/>
          <c:w val="0.31156135684381736"/>
          <c:h val="5.1883622360454261E-2"/>
        </c:manualLayout>
      </c:layout>
      <c:overlay val="0"/>
      <c:txPr>
        <a:bodyPr/>
        <a:lstStyle/>
        <a:p>
          <a:pPr>
            <a:defRPr sz="1000">
              <a:solidFill>
                <a:srgbClr val="1F2933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DEE3EA"/>
      </a:solidFill>
    </a:ln>
  </c:spPr>
  <c:txPr>
    <a:bodyPr/>
    <a:lstStyle/>
    <a:p>
      <a:pPr>
        <a:defRPr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RevenueNetIncomeChart">
          <a:extLst>
            <a:ext uri="{FF2B5EF4-FFF2-40B4-BE49-F238E27FC236}">
              <a16:creationId xmlns:a16="http://schemas.microsoft.com/office/drawing/2014/main" id="{54C9CABC-4DDB-5C89-2991-D31600C2B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reener.in/company/TITAN/consolidated/" TargetMode="External"/><Relationship Id="rId1" Type="http://schemas.openxmlformats.org/officeDocument/2006/relationships/hyperlink" Target="https://www.alphaspread.com/security/nse/titan/dcf-valuation/base-c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7A04-224F-4ED7-8EE8-77BC0535BE3D}">
  <dimension ref="B2:Y103"/>
  <sheetViews>
    <sheetView showGridLines="0" zoomScale="90" zoomScaleNormal="90" workbookViewId="0"/>
  </sheetViews>
  <sheetFormatPr defaultRowHeight="12.75" x14ac:dyDescent="0.35"/>
  <cols>
    <col min="1" max="1" width="2.59765625" style="120" customWidth="1"/>
    <col min="2" max="2" width="52.59765625" style="120" customWidth="1"/>
    <col min="3" max="3" width="13.59765625" style="120" customWidth="1"/>
    <col min="4" max="25" width="10.1328125" style="120" customWidth="1"/>
    <col min="26" max="16384" width="9.06640625" style="120"/>
  </cols>
  <sheetData>
    <row r="2" spans="2:25" ht="20.65" x14ac:dyDescent="0.6">
      <c r="B2" s="121" t="s">
        <v>146</v>
      </c>
    </row>
    <row r="3" spans="2:25" x14ac:dyDescent="0.35">
      <c r="B3" s="122" t="s">
        <v>147</v>
      </c>
    </row>
    <row r="5" spans="2:25" ht="13.15" x14ac:dyDescent="0.4">
      <c r="B5" s="4" t="s">
        <v>148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25" x14ac:dyDescent="0.35">
      <c r="B6" s="120" t="s">
        <v>149</v>
      </c>
      <c r="C6" s="123">
        <f>Price</f>
        <v>4515.7</v>
      </c>
      <c r="D6" s="62" t="s">
        <v>150</v>
      </c>
    </row>
    <row r="7" spans="2:25" x14ac:dyDescent="0.35">
      <c r="B7" s="120" t="s">
        <v>151</v>
      </c>
      <c r="C7" s="124">
        <f>PriceDate</f>
        <v>46296</v>
      </c>
      <c r="D7" s="62" t="s">
        <v>152</v>
      </c>
    </row>
    <row r="8" spans="2:25" x14ac:dyDescent="0.35">
      <c r="B8" s="120" t="s">
        <v>97</v>
      </c>
      <c r="C8" s="125">
        <f>Shares</f>
        <v>890</v>
      </c>
    </row>
    <row r="9" spans="2:25" x14ac:dyDescent="0.35">
      <c r="B9" s="120" t="s">
        <v>153</v>
      </c>
      <c r="C9" s="16">
        <v>0.25169999999999998</v>
      </c>
      <c r="D9" s="62" t="s">
        <v>154</v>
      </c>
    </row>
    <row r="10" spans="2:25" x14ac:dyDescent="0.35">
      <c r="B10" s="120" t="s">
        <v>155</v>
      </c>
      <c r="C10" s="126">
        <f>DiscountRate</f>
        <v>0.1026</v>
      </c>
      <c r="D10" s="62" t="s">
        <v>150</v>
      </c>
    </row>
    <row r="11" spans="2:25" x14ac:dyDescent="0.35">
      <c r="B11" s="120" t="s">
        <v>156</v>
      </c>
      <c r="C11" s="127" t="s">
        <v>158</v>
      </c>
      <c r="D11" s="62" t="s">
        <v>157</v>
      </c>
    </row>
    <row r="12" spans="2:25" x14ac:dyDescent="0.35">
      <c r="B12" s="120" t="s">
        <v>159</v>
      </c>
      <c r="C12" s="16">
        <v>0.02</v>
      </c>
      <c r="D12" s="62" t="s">
        <v>160</v>
      </c>
    </row>
    <row r="13" spans="2:25" x14ac:dyDescent="0.35">
      <c r="B13" s="120" t="s">
        <v>161</v>
      </c>
      <c r="C13" s="126">
        <f>AVERAGE(E37:I37)</f>
        <v>9.4516280026833072E-2</v>
      </c>
      <c r="D13" s="62" t="s">
        <v>162</v>
      </c>
    </row>
    <row r="14" spans="2:25" x14ac:dyDescent="0.35">
      <c r="B14" s="120" t="s">
        <v>163</v>
      </c>
      <c r="C14" s="126">
        <f>AVERAGE(E40:I40)</f>
        <v>1.1409877727633775E-2</v>
      </c>
      <c r="D14" s="62" t="s">
        <v>162</v>
      </c>
    </row>
    <row r="15" spans="2:25" x14ac:dyDescent="0.35">
      <c r="B15" s="120" t="s">
        <v>164</v>
      </c>
      <c r="C15" s="126">
        <f>AVERAGE(E39:I39)</f>
        <v>2.4809174424997527E-2</v>
      </c>
      <c r="D15" s="62" t="s">
        <v>162</v>
      </c>
    </row>
    <row r="16" spans="2:25" x14ac:dyDescent="0.35">
      <c r="B16" s="120" t="s">
        <v>165</v>
      </c>
      <c r="C16" s="126">
        <f>IF($C$11="Debt",AVERAGE(G42:I42),AVERAGE(G44:I44))</f>
        <v>0.2382919500156199</v>
      </c>
      <c r="D16" s="62" t="s">
        <v>166</v>
      </c>
    </row>
    <row r="17" spans="2:25" x14ac:dyDescent="0.35">
      <c r="B17" s="120" t="s">
        <v>167</v>
      </c>
      <c r="C17" s="16">
        <v>0.06</v>
      </c>
      <c r="D17" s="62" t="s">
        <v>168</v>
      </c>
    </row>
    <row r="18" spans="2:25" x14ac:dyDescent="0.35">
      <c r="B18" s="120" t="s">
        <v>169</v>
      </c>
      <c r="C18" s="16"/>
      <c r="D18" s="62" t="s">
        <v>170</v>
      </c>
    </row>
    <row r="19" spans="2:25" x14ac:dyDescent="0.35">
      <c r="B19" s="120" t="s">
        <v>50</v>
      </c>
      <c r="C19" s="128">
        <f>StubFraction</f>
        <v>0.49589041095890413</v>
      </c>
    </row>
    <row r="21" spans="2:25" ht="13.15" x14ac:dyDescent="0.4">
      <c r="B21" s="4" t="s">
        <v>171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2:25" ht="13.15" x14ac:dyDescent="0.4">
      <c r="B22" s="120" t="s">
        <v>3</v>
      </c>
      <c r="D22" s="129">
        <v>2021</v>
      </c>
      <c r="E22" s="129">
        <v>2022</v>
      </c>
      <c r="F22" s="129">
        <v>2023</v>
      </c>
      <c r="G22" s="129">
        <v>2024</v>
      </c>
      <c r="H22" s="129">
        <v>2025</v>
      </c>
      <c r="I22" s="129">
        <v>2026</v>
      </c>
    </row>
    <row r="23" spans="2:25" x14ac:dyDescent="0.35">
      <c r="B23" s="120" t="s">
        <v>172</v>
      </c>
      <c r="D23" s="131">
        <v>21644</v>
      </c>
      <c r="E23" s="131">
        <v>28799</v>
      </c>
      <c r="F23" s="131">
        <v>40575</v>
      </c>
      <c r="G23" s="131">
        <v>51084</v>
      </c>
      <c r="H23" s="131">
        <v>60456</v>
      </c>
      <c r="I23" s="131">
        <v>87584</v>
      </c>
    </row>
    <row r="24" spans="2:25" x14ac:dyDescent="0.35">
      <c r="B24" s="120" t="s">
        <v>173</v>
      </c>
      <c r="D24" s="131">
        <v>1327</v>
      </c>
      <c r="E24" s="131">
        <v>2904</v>
      </c>
      <c r="F24" s="131">
        <v>4447</v>
      </c>
      <c r="G24" s="131">
        <v>4623</v>
      </c>
      <c r="H24" s="131">
        <v>4535</v>
      </c>
      <c r="I24" s="131">
        <v>6801</v>
      </c>
    </row>
    <row r="25" spans="2:25" x14ac:dyDescent="0.35">
      <c r="B25" s="120" t="s">
        <v>174</v>
      </c>
      <c r="D25" s="131">
        <v>203</v>
      </c>
      <c r="E25" s="131">
        <v>218</v>
      </c>
      <c r="F25" s="131">
        <v>300</v>
      </c>
      <c r="G25" s="131">
        <v>619</v>
      </c>
      <c r="H25" s="131">
        <v>953</v>
      </c>
      <c r="I25" s="131">
        <v>1180</v>
      </c>
    </row>
    <row r="26" spans="2:25" x14ac:dyDescent="0.35">
      <c r="B26" s="120" t="s">
        <v>175</v>
      </c>
      <c r="D26" s="131">
        <v>180</v>
      </c>
      <c r="E26" s="131">
        <v>177</v>
      </c>
      <c r="F26" s="131">
        <v>306</v>
      </c>
      <c r="G26" s="131">
        <v>534</v>
      </c>
      <c r="H26" s="131">
        <v>487</v>
      </c>
      <c r="I26" s="131">
        <v>450</v>
      </c>
    </row>
    <row r="27" spans="2:25" x14ac:dyDescent="0.35">
      <c r="B27" s="120" t="s">
        <v>176</v>
      </c>
      <c r="D27" s="131">
        <v>375</v>
      </c>
      <c r="E27" s="131">
        <v>399</v>
      </c>
      <c r="F27" s="131">
        <v>441</v>
      </c>
      <c r="G27" s="131">
        <v>584</v>
      </c>
      <c r="H27" s="131">
        <v>693</v>
      </c>
      <c r="I27" s="131">
        <v>826</v>
      </c>
    </row>
    <row r="28" spans="2:25" x14ac:dyDescent="0.35">
      <c r="B28" s="120" t="s">
        <v>177</v>
      </c>
      <c r="D28" s="131">
        <v>2523</v>
      </c>
      <c r="E28" s="131">
        <v>2544</v>
      </c>
      <c r="F28" s="131">
        <v>2998</v>
      </c>
      <c r="G28" s="131">
        <v>3709</v>
      </c>
      <c r="H28" s="131">
        <v>4062</v>
      </c>
      <c r="I28" s="131">
        <v>6878</v>
      </c>
    </row>
    <row r="29" spans="2:25" x14ac:dyDescent="0.35">
      <c r="B29" s="120" t="s">
        <v>178</v>
      </c>
      <c r="D29" s="131">
        <v>32</v>
      </c>
      <c r="E29" s="131">
        <v>85</v>
      </c>
      <c r="F29" s="131">
        <v>144</v>
      </c>
      <c r="G29" s="131">
        <v>97</v>
      </c>
      <c r="H29" s="131">
        <v>105</v>
      </c>
      <c r="I29" s="131">
        <v>163</v>
      </c>
    </row>
    <row r="30" spans="2:25" x14ac:dyDescent="0.35">
      <c r="B30" s="120" t="s">
        <v>179</v>
      </c>
      <c r="D30" s="131">
        <v>11065</v>
      </c>
      <c r="E30" s="131">
        <v>18265</v>
      </c>
      <c r="F30" s="131">
        <v>21363</v>
      </c>
      <c r="G30" s="131">
        <v>25396</v>
      </c>
      <c r="H30" s="131">
        <v>34490</v>
      </c>
      <c r="I30" s="131">
        <v>50014</v>
      </c>
    </row>
    <row r="31" spans="2:25" x14ac:dyDescent="0.35">
      <c r="B31" s="120" t="s">
        <v>180</v>
      </c>
      <c r="D31" s="131">
        <v>3309</v>
      </c>
      <c r="E31" s="131">
        <v>4610</v>
      </c>
      <c r="F31" s="131">
        <v>5802</v>
      </c>
      <c r="G31" s="131">
        <v>6626</v>
      </c>
      <c r="H31" s="131">
        <v>8244</v>
      </c>
      <c r="I31" s="131">
        <v>14237</v>
      </c>
    </row>
    <row r="32" spans="2:25" x14ac:dyDescent="0.35">
      <c r="B32" s="120" t="s">
        <v>181</v>
      </c>
      <c r="D32" s="131">
        <v>560</v>
      </c>
      <c r="E32" s="131">
        <v>1573</v>
      </c>
      <c r="F32" s="131">
        <v>1343</v>
      </c>
      <c r="G32" s="131">
        <v>1526</v>
      </c>
      <c r="H32" s="131">
        <v>1584</v>
      </c>
      <c r="I32" s="131">
        <v>1917</v>
      </c>
    </row>
    <row r="33" spans="2:25" x14ac:dyDescent="0.35">
      <c r="B33" s="120" t="s">
        <v>182</v>
      </c>
      <c r="D33" s="131">
        <v>5638</v>
      </c>
      <c r="E33" s="131">
        <v>7275</v>
      </c>
      <c r="F33" s="131">
        <v>9367</v>
      </c>
      <c r="G33" s="131">
        <v>15528</v>
      </c>
      <c r="H33" s="131">
        <v>20777</v>
      </c>
      <c r="I33" s="131">
        <v>30621</v>
      </c>
    </row>
    <row r="34" spans="2:25" x14ac:dyDescent="0.35">
      <c r="B34" s="120" t="s">
        <v>183</v>
      </c>
      <c r="G34" s="131">
        <v>5341</v>
      </c>
      <c r="H34" s="131">
        <v>7810</v>
      </c>
      <c r="I34" s="131">
        <v>16070</v>
      </c>
    </row>
    <row r="36" spans="2:25" x14ac:dyDescent="0.35">
      <c r="B36" s="120" t="s">
        <v>184</v>
      </c>
      <c r="D36" s="130">
        <f>D24+D25-D26</f>
        <v>1350</v>
      </c>
      <c r="E36" s="130">
        <f>E24+E25-E26</f>
        <v>2945</v>
      </c>
      <c r="F36" s="130">
        <f>F24+F25-F26</f>
        <v>4441</v>
      </c>
      <c r="G36" s="130">
        <f>G24+G25-G26</f>
        <v>4708</v>
      </c>
      <c r="H36" s="130">
        <f>H24+H25-H26</f>
        <v>5001</v>
      </c>
      <c r="I36" s="130">
        <f>I24+I25-I26</f>
        <v>7531</v>
      </c>
    </row>
    <row r="37" spans="2:25" x14ac:dyDescent="0.35">
      <c r="B37" s="120" t="s">
        <v>185</v>
      </c>
      <c r="D37" s="126">
        <f>D36/D23</f>
        <v>6.237294400295694E-2</v>
      </c>
      <c r="E37" s="126">
        <f>E36/E23</f>
        <v>0.10226049515608181</v>
      </c>
      <c r="F37" s="126">
        <f>F36/F23</f>
        <v>0.10945163277880468</v>
      </c>
      <c r="G37" s="126">
        <f>G36/G23</f>
        <v>9.2161929371231702E-2</v>
      </c>
      <c r="H37" s="126">
        <f>H36/H23</f>
        <v>8.2721317983326714E-2</v>
      </c>
      <c r="I37" s="126">
        <f>I36/I23</f>
        <v>8.5986024844720496E-2</v>
      </c>
    </row>
    <row r="38" spans="2:25" x14ac:dyDescent="0.35">
      <c r="B38" s="120" t="s">
        <v>186</v>
      </c>
      <c r="E38" s="130">
        <f>E28-D28+E29-D29+E27</f>
        <v>473</v>
      </c>
      <c r="F38" s="130">
        <f>F28-E28+F29-E29+F27</f>
        <v>954</v>
      </c>
      <c r="G38" s="130">
        <f>G28-F28+G29-F29+G27</f>
        <v>1248</v>
      </c>
      <c r="H38" s="130">
        <f>H28-G28+H29-G29+H27</f>
        <v>1054</v>
      </c>
      <c r="I38" s="130">
        <f>I28-H28+I29-H29+I27</f>
        <v>3700</v>
      </c>
    </row>
    <row r="39" spans="2:25" x14ac:dyDescent="0.35">
      <c r="B39" s="120" t="s">
        <v>164</v>
      </c>
      <c r="E39" s="126">
        <f>E38/E23</f>
        <v>1.6424181395187334E-2</v>
      </c>
      <c r="F39" s="126">
        <f>F38/F23</f>
        <v>2.3512014787430684E-2</v>
      </c>
      <c r="G39" s="126">
        <f>G38/G23</f>
        <v>2.4430350011745362E-2</v>
      </c>
      <c r="H39" s="126">
        <f>H38/H23</f>
        <v>1.7434166997485775E-2</v>
      </c>
      <c r="I39" s="126">
        <f>I38/I23</f>
        <v>4.2245158933138474E-2</v>
      </c>
    </row>
    <row r="40" spans="2:25" x14ac:dyDescent="0.35">
      <c r="B40" s="120" t="s">
        <v>163</v>
      </c>
      <c r="D40" s="126">
        <f>D27/D23</f>
        <v>1.7325817778599151E-2</v>
      </c>
      <c r="E40" s="126">
        <f>E27/E23</f>
        <v>1.3854647730823988E-2</v>
      </c>
      <c r="F40" s="126">
        <f>F27/F23</f>
        <v>1.0868761552680222E-2</v>
      </c>
      <c r="G40" s="126">
        <f>G27/G23</f>
        <v>1.1432150967034689E-2</v>
      </c>
      <c r="H40" s="126">
        <f>H27/H23</f>
        <v>1.146288209606987E-2</v>
      </c>
      <c r="I40" s="126">
        <f>I27/I23</f>
        <v>9.4309462915601015E-3</v>
      </c>
    </row>
    <row r="41" spans="2:25" x14ac:dyDescent="0.35">
      <c r="B41" s="120" t="s">
        <v>187</v>
      </c>
      <c r="D41" s="130">
        <f>D30-D32-D31</f>
        <v>7196</v>
      </c>
      <c r="E41" s="130">
        <f>E30-E32-E31</f>
        <v>12082</v>
      </c>
      <c r="F41" s="130">
        <f>F30-F32-F31</f>
        <v>14218</v>
      </c>
      <c r="G41" s="130">
        <f>G30-G32-G31</f>
        <v>17244</v>
      </c>
      <c r="H41" s="130">
        <f>H30-H32-H31</f>
        <v>24662</v>
      </c>
      <c r="I41" s="130">
        <f>I30-I32-I31</f>
        <v>33860</v>
      </c>
    </row>
    <row r="42" spans="2:25" x14ac:dyDescent="0.35">
      <c r="B42" s="120" t="s">
        <v>188</v>
      </c>
      <c r="D42" s="126">
        <f>D41/D23</f>
        <v>0.33247089262613194</v>
      </c>
      <c r="E42" s="126">
        <f>E41/E23</f>
        <v>0.41952845584916143</v>
      </c>
      <c r="F42" s="126">
        <f>F41/F23</f>
        <v>0.35041281577325939</v>
      </c>
      <c r="G42" s="126">
        <f>G41/G23</f>
        <v>0.33756166314305847</v>
      </c>
      <c r="H42" s="126">
        <f>H41/H23</f>
        <v>0.40793304221251819</v>
      </c>
      <c r="I42" s="126">
        <f>I41/I23</f>
        <v>0.38660029229082937</v>
      </c>
    </row>
    <row r="43" spans="2:25" x14ac:dyDescent="0.35">
      <c r="B43" s="120" t="s">
        <v>189</v>
      </c>
      <c r="G43" s="130">
        <f>G41-G34</f>
        <v>11903</v>
      </c>
      <c r="H43" s="130">
        <f>H41-H34</f>
        <v>16852</v>
      </c>
      <c r="I43" s="130">
        <f>I41-I34</f>
        <v>17790</v>
      </c>
    </row>
    <row r="44" spans="2:25" x14ac:dyDescent="0.35">
      <c r="B44" s="120" t="s">
        <v>188</v>
      </c>
      <c r="G44" s="126">
        <f>G43/G23</f>
        <v>0.23300837835721558</v>
      </c>
      <c r="H44" s="126">
        <f>H43/H23</f>
        <v>0.27874818049490541</v>
      </c>
      <c r="I44" s="126">
        <f>I43/I23</f>
        <v>0.20311929119473876</v>
      </c>
    </row>
    <row r="45" spans="2:25" x14ac:dyDescent="0.35">
      <c r="B45" s="120" t="s">
        <v>190</v>
      </c>
      <c r="G45" s="126">
        <f>G34/G23</f>
        <v>0.10455328478584293</v>
      </c>
      <c r="H45" s="126">
        <f>H34/H23</f>
        <v>0.12918486171761281</v>
      </c>
      <c r="I45" s="126">
        <f>I34/I23</f>
        <v>0.18348100109609061</v>
      </c>
    </row>
    <row r="47" spans="2:25" ht="13.15" x14ac:dyDescent="0.4">
      <c r="B47" s="4" t="s">
        <v>191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2:25" x14ac:dyDescent="0.35">
      <c r="B48" s="120" t="s">
        <v>192</v>
      </c>
      <c r="C48" s="130">
        <f>IF($C$11="Debt",I33,I33-I34)</f>
        <v>14551</v>
      </c>
      <c r="D48" s="62" t="s">
        <v>193</v>
      </c>
    </row>
    <row r="49" spans="2:25" x14ac:dyDescent="0.35">
      <c r="B49" s="120" t="s">
        <v>194</v>
      </c>
      <c r="C49" s="130">
        <f>IF($C$11="Debt",H33,H33-H34)</f>
        <v>12967</v>
      </c>
    </row>
    <row r="50" spans="2:25" x14ac:dyDescent="0.35">
      <c r="B50" s="120" t="s">
        <v>195</v>
      </c>
      <c r="C50" s="130">
        <f>IF($C$11="Debt",I25,I25-C12*AVERAGE(H34:I34))</f>
        <v>941.2</v>
      </c>
      <c r="D50" s="62" t="s">
        <v>196</v>
      </c>
    </row>
    <row r="51" spans="2:25" x14ac:dyDescent="0.35">
      <c r="B51" s="120" t="s">
        <v>197</v>
      </c>
      <c r="C51" s="126">
        <f>C50/AVERAGE(C48:C49)</f>
        <v>6.8406134166727237E-2</v>
      </c>
      <c r="D51" s="62" t="s">
        <v>198</v>
      </c>
    </row>
    <row r="52" spans="2:25" x14ac:dyDescent="0.35">
      <c r="B52" s="120" t="s">
        <v>199</v>
      </c>
      <c r="C52" s="130">
        <f>C6*C8/10</f>
        <v>401897.3</v>
      </c>
      <c r="D52" s="62" t="s">
        <v>200</v>
      </c>
    </row>
    <row r="53" spans="2:25" x14ac:dyDescent="0.35">
      <c r="B53" s="120" t="s">
        <v>201</v>
      </c>
      <c r="C53" s="126">
        <f>C48/(C48+C52)</f>
        <v>3.4940711728202518E-2</v>
      </c>
    </row>
    <row r="54" spans="2:25" x14ac:dyDescent="0.35">
      <c r="B54" s="120" t="s">
        <v>202</v>
      </c>
      <c r="C54" s="126">
        <f>(C52*C10+C48*C51*(1-C9))/(C52+C48)</f>
        <v>0.10080363896713228</v>
      </c>
    </row>
    <row r="55" spans="2:25" ht="13.15" x14ac:dyDescent="0.4">
      <c r="B55" s="120" t="s">
        <v>203</v>
      </c>
      <c r="C55" s="132">
        <f>IF(C18="",C54,C18)</f>
        <v>0.10080363896713228</v>
      </c>
    </row>
    <row r="56" spans="2:25" x14ac:dyDescent="0.35">
      <c r="B56" s="120" t="s">
        <v>204</v>
      </c>
      <c r="C56" s="126">
        <f>IF($C$11="Debt",0,C12*AVERAGE(G45:I45))</f>
        <v>2.7814609839969758E-3</v>
      </c>
    </row>
    <row r="57" spans="2:25" x14ac:dyDescent="0.35">
      <c r="B57" s="120" t="s">
        <v>205</v>
      </c>
      <c r="C57" s="126">
        <f>C13-C56</f>
        <v>9.1734819042836091E-2</v>
      </c>
    </row>
    <row r="58" spans="2:25" x14ac:dyDescent="0.35">
      <c r="B58" s="120" t="s">
        <v>206</v>
      </c>
      <c r="C58" s="130">
        <f>C48-I32</f>
        <v>12634</v>
      </c>
      <c r="D58" s="62" t="s">
        <v>207</v>
      </c>
    </row>
    <row r="60" spans="2:25" ht="13.15" x14ac:dyDescent="0.4">
      <c r="B60" s="4" t="s">
        <v>208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25" ht="13.15" x14ac:dyDescent="0.4">
      <c r="B61" s="120" t="s">
        <v>3</v>
      </c>
      <c r="I61" s="129">
        <v>2026</v>
      </c>
      <c r="J61" s="129">
        <v>2027</v>
      </c>
      <c r="K61" s="129">
        <v>2028</v>
      </c>
      <c r="L61" s="129">
        <v>2029</v>
      </c>
      <c r="M61" s="129">
        <v>2030</v>
      </c>
      <c r="N61" s="129">
        <v>2031</v>
      </c>
      <c r="O61" s="129">
        <v>2032</v>
      </c>
      <c r="P61" s="129">
        <v>2033</v>
      </c>
      <c r="Q61" s="129">
        <v>2034</v>
      </c>
      <c r="R61" s="129">
        <v>2035</v>
      </c>
      <c r="S61" s="129">
        <v>2036</v>
      </c>
      <c r="T61" s="129">
        <v>2037</v>
      </c>
      <c r="U61" s="129">
        <v>2038</v>
      </c>
      <c r="V61" s="129">
        <v>2039</v>
      </c>
      <c r="W61" s="129">
        <v>2040</v>
      </c>
      <c r="X61" s="129">
        <v>2041</v>
      </c>
      <c r="Y61" s="129">
        <v>2042</v>
      </c>
    </row>
    <row r="62" spans="2:25" x14ac:dyDescent="0.35">
      <c r="B62" s="120" t="s">
        <v>209</v>
      </c>
      <c r="I62" s="126"/>
      <c r="J62" s="126">
        <f>Valuation!N42</f>
        <v>0.17193609687388656</v>
      </c>
      <c r="K62" s="126">
        <f>Valuation!O42</f>
        <v>0.17609219547246149</v>
      </c>
      <c r="L62" s="126">
        <f>Valuation!P42</f>
        <v>0.17038175518966889</v>
      </c>
      <c r="M62" s="126">
        <f>Valuation!Q42</f>
        <v>0.16868319981793356</v>
      </c>
      <c r="N62" s="126">
        <f>Valuation!R42</f>
        <v>0.16395410741920802</v>
      </c>
      <c r="O62" s="126">
        <f>Valuation!S42</f>
        <v>0.15674568502503414</v>
      </c>
      <c r="P62" s="126">
        <f>Valuation!T42</f>
        <v>0.14760889485662268</v>
      </c>
      <c r="Q62" s="126">
        <f>Valuation!U42</f>
        <v>0.13709469913518435</v>
      </c>
      <c r="R62" s="126">
        <f>Valuation!V42</f>
        <v>0.12575406008192991</v>
      </c>
      <c r="S62" s="126">
        <f>Valuation!W42</f>
        <v>0.11413793991807009</v>
      </c>
      <c r="T62" s="126">
        <f>Valuation!X42</f>
        <v>0.10279730086481566</v>
      </c>
      <c r="U62" s="126">
        <f>Valuation!Y42</f>
        <v>9.2283105143377356E-2</v>
      </c>
      <c r="V62" s="126">
        <f>Valuation!Z42</f>
        <v>8.3146314974965857E-2</v>
      </c>
      <c r="W62" s="126">
        <f>Valuation!AA42</f>
        <v>7.5937892580792032E-2</v>
      </c>
      <c r="X62" s="126">
        <f>Valuation!AB42</f>
        <v>7.1208800182066476E-2</v>
      </c>
      <c r="Y62" s="126">
        <f>Valuation!AC42</f>
        <v>6.9510000000000002E-2</v>
      </c>
    </row>
    <row r="63" spans="2:25" x14ac:dyDescent="0.35">
      <c r="B63" s="120" t="s">
        <v>172</v>
      </c>
      <c r="I63" s="130">
        <f>I23</f>
        <v>87584</v>
      </c>
      <c r="J63" s="130">
        <f>I63*(1+J62)</f>
        <v>102642.85110860248</v>
      </c>
      <c r="K63" s="130">
        <f>J63*(1+K62)</f>
        <v>120717.45610986926</v>
      </c>
      <c r="L63" s="130">
        <f>K63*(1+L62)</f>
        <v>141285.50816390061</v>
      </c>
      <c r="M63" s="130">
        <f>L63*(1+M62)</f>
        <v>165117.99976889012</v>
      </c>
      <c r="N63" s="130">
        <f>M63*(1+N62)</f>
        <v>192189.77403984353</v>
      </c>
      <c r="O63" s="130">
        <f>N63*(1+O62)</f>
        <v>222314.69182652532</v>
      </c>
      <c r="P63" s="130">
        <f>O63*(1+P62)</f>
        <v>255130.31779742939</v>
      </c>
      <c r="Q63" s="130">
        <f>P63*(1+Q62)</f>
        <v>290107.33195613191</v>
      </c>
      <c r="R63" s="130">
        <f>Q63*(1+R62)</f>
        <v>326589.50680915167</v>
      </c>
      <c r="S63" s="130">
        <f>R63*(1+S62)</f>
        <v>363865.76031520672</v>
      </c>
      <c r="T63" s="130">
        <f>S63*(1+T62)</f>
        <v>401270.17835273396</v>
      </c>
      <c r="U63" s="130">
        <f>T63*(1+U62)</f>
        <v>438300.63641256111</v>
      </c>
      <c r="V63" s="130">
        <f>U63*(1+V62)</f>
        <v>474743.71918144787</v>
      </c>
      <c r="W63" s="130">
        <f>V63*(1+W62)</f>
        <v>510794.7567320544</v>
      </c>
      <c r="X63" s="130">
        <f>W63*(1+X62)</f>
        <v>547167.83849823452</v>
      </c>
      <c r="Y63" s="130">
        <f>X63*(1+Y62)</f>
        <v>585201.47495224676</v>
      </c>
    </row>
    <row r="64" spans="2:25" x14ac:dyDescent="0.35">
      <c r="B64" s="120" t="s">
        <v>210</v>
      </c>
      <c r="I64" s="130"/>
      <c r="J64" s="130">
        <f>J63*$C$57</f>
        <v>9415.9233724884161</v>
      </c>
      <c r="K64" s="130">
        <f>K63*$C$57</f>
        <v>11073.993991550366</v>
      </c>
      <c r="L64" s="130">
        <f>L63*$C$57</f>
        <v>12960.800524790564</v>
      </c>
      <c r="M64" s="130">
        <f>M63*$C$57</f>
        <v>15147.069829514186</v>
      </c>
      <c r="N64" s="130">
        <f>N63*$C$57</f>
        <v>17630.494143428605</v>
      </c>
      <c r="O64" s="130">
        <f>O63*$C$57</f>
        <v>20393.998025270172</v>
      </c>
      <c r="P64" s="130">
        <f>P63*$C$57</f>
        <v>23404.333535488451</v>
      </c>
      <c r="Q64" s="130">
        <f>Q63*$C$57</f>
        <v>26612.943599995742</v>
      </c>
      <c r="R64" s="130">
        <f>R63*$C$57</f>
        <v>29959.629308426614</v>
      </c>
      <c r="S64" s="130">
        <f>S63*$C$57</f>
        <v>33379.159678399461</v>
      </c>
      <c r="T64" s="130">
        <f>T63*$C$57</f>
        <v>36810.447198474612</v>
      </c>
      <c r="U64" s="130">
        <f>U63*$C$57</f>
        <v>40207.429567666186</v>
      </c>
      <c r="V64" s="130">
        <f>V63*$C$57</f>
        <v>43550.529170833113</v>
      </c>
      <c r="W64" s="130">
        <f>W63*$C$57</f>
        <v>46857.664576844494</v>
      </c>
      <c r="X64" s="130">
        <f>X63*$C$57</f>
        <v>50194.342650695304</v>
      </c>
      <c r="Y64" s="130">
        <f>Y63*$C$57</f>
        <v>53683.351408345137</v>
      </c>
    </row>
    <row r="65" spans="2:25" x14ac:dyDescent="0.35">
      <c r="B65" s="120" t="s">
        <v>211</v>
      </c>
      <c r="I65" s="130"/>
      <c r="J65" s="130">
        <f>J64*(1-$C$9)</f>
        <v>7045.9354596330813</v>
      </c>
      <c r="K65" s="130">
        <f>K64*(1-$C$9)</f>
        <v>8286.6697038771381</v>
      </c>
      <c r="L65" s="130">
        <f>L64*(1-$C$9)</f>
        <v>9698.5670327007792</v>
      </c>
      <c r="M65" s="130">
        <f>M64*(1-$C$9)</f>
        <v>11334.552353425464</v>
      </c>
      <c r="N65" s="130">
        <f>N64*(1-$C$9)</f>
        <v>13192.898767527624</v>
      </c>
      <c r="O65" s="130">
        <f>O64*(1-$C$9)</f>
        <v>15260.828722309669</v>
      </c>
      <c r="P65" s="130">
        <f>P64*(1-$C$9)</f>
        <v>17513.462784606007</v>
      </c>
      <c r="Q65" s="130">
        <f>Q64*(1-$C$9)</f>
        <v>19914.465695876814</v>
      </c>
      <c r="R65" s="130">
        <f>R64*(1-$C$9)</f>
        <v>22418.790611495635</v>
      </c>
      <c r="S65" s="130">
        <f>S64*(1-$C$9)</f>
        <v>24977.625187346315</v>
      </c>
      <c r="T65" s="130">
        <f>T64*(1-$C$9)</f>
        <v>27545.25763861855</v>
      </c>
      <c r="U65" s="130">
        <f>U64*(1-$C$9)</f>
        <v>30087.219545484604</v>
      </c>
      <c r="V65" s="130">
        <f>V64*(1-$C$9)</f>
        <v>32588.860978534416</v>
      </c>
      <c r="W65" s="130">
        <f>W64*(1-$C$9)</f>
        <v>35063.590402852737</v>
      </c>
      <c r="X65" s="130">
        <f>X64*(1-$C$9)</f>
        <v>37560.426605515291</v>
      </c>
      <c r="Y65" s="130">
        <f>Y64*(1-$C$9)</f>
        <v>40171.251858864664</v>
      </c>
    </row>
    <row r="66" spans="2:25" x14ac:dyDescent="0.35">
      <c r="B66" s="120" t="s">
        <v>212</v>
      </c>
      <c r="I66" s="130"/>
      <c r="J66" s="130">
        <f>J63*($C$15-$C$14)</f>
        <v>1375.3420158674965</v>
      </c>
      <c r="K66" s="130">
        <f>K63*($C$15-$C$14)</f>
        <v>1617.5290109671248</v>
      </c>
      <c r="L66" s="130">
        <f>L63*($C$15-$C$14)</f>
        <v>1893.1264429259129</v>
      </c>
      <c r="M66" s="130">
        <f>M63*($C$15-$C$14)</f>
        <v>2212.4650689785981</v>
      </c>
      <c r="N66" s="130">
        <f>N63*($C$15-$C$14)</f>
        <v>2575.2078045591611</v>
      </c>
      <c r="O66" s="130">
        <f>O63*($C$15-$C$14)</f>
        <v>2978.8605159666008</v>
      </c>
      <c r="P66" s="130">
        <f>P63*($C$15-$C$14)</f>
        <v>3418.56682466046</v>
      </c>
      <c r="Q66" s="130">
        <f>Q63*($C$15-$C$14)</f>
        <v>3887.234214960808</v>
      </c>
      <c r="R66" s="130">
        <f>R63*($C$15-$C$14)</f>
        <v>4376.0696999815227</v>
      </c>
      <c r="S66" s="130">
        <f>S63*($C$15-$C$14)</f>
        <v>4875.5452804752995</v>
      </c>
      <c r="T66" s="130">
        <f>T63*($C$15-$C$14)</f>
        <v>5376.738175552352</v>
      </c>
      <c r="U66" s="130">
        <f>U63*($C$15-$C$14)</f>
        <v>5872.9202699352609</v>
      </c>
      <c r="V66" s="130">
        <f>V63*($C$15-$C$14)</f>
        <v>6361.2319485221587</v>
      </c>
      <c r="W66" s="130">
        <f>W63*($C$15-$C$14)</f>
        <v>6844.2904969105375</v>
      </c>
      <c r="X66" s="130">
        <f>X63*($C$15-$C$14)</f>
        <v>7331.6642112930567</v>
      </c>
      <c r="Y66" s="130">
        <f>Y63*($C$15-$C$14)</f>
        <v>7841.2881906200364</v>
      </c>
    </row>
    <row r="67" spans="2:25" x14ac:dyDescent="0.35">
      <c r="B67" s="120" t="s">
        <v>213</v>
      </c>
      <c r="I67" s="130">
        <f>IF($C$11="Debt",I41,I43)</f>
        <v>17790</v>
      </c>
      <c r="J67" s="130">
        <f>J63*$C$16</f>
        <v>24458.965145831819</v>
      </c>
      <c r="K67" s="130">
        <f>K63*$C$16</f>
        <v>28765.998017345755</v>
      </c>
      <c r="L67" s="130">
        <f>L63*$C$16</f>
        <v>33667.199249323661</v>
      </c>
      <c r="M67" s="130">
        <f>M63*$C$16</f>
        <v>39346.290147607506</v>
      </c>
      <c r="N67" s="130">
        <f>N63*$C$16</f>
        <v>45797.276029015673</v>
      </c>
      <c r="O67" s="130">
        <f>O63*$C$16</f>
        <v>52975.801432464315</v>
      </c>
      <c r="P67" s="130">
        <f>P63*$C$16</f>
        <v>60795.500936054268</v>
      </c>
      <c r="Q67" s="130">
        <f>Q63*$C$16</f>
        <v>69130.24184565543</v>
      </c>
      <c r="R67" s="130">
        <f>R63*$C$16</f>
        <v>77823.650432192328</v>
      </c>
      <c r="S67" s="130">
        <f>S63*$C$16</f>
        <v>86706.281569426763</v>
      </c>
      <c r="T67" s="130">
        <f>T63*$C$16</f>
        <v>95619.453282788556</v>
      </c>
      <c r="U67" s="130">
        <f>U63*$C$16</f>
        <v>104443.5133438364</v>
      </c>
      <c r="V67" s="130">
        <f>V63*$C$16</f>
        <v>113127.60660141507</v>
      </c>
      <c r="W67" s="130">
        <f>W63*$C$16</f>
        <v>121718.27863943543</v>
      </c>
      <c r="X67" s="130">
        <f>X63*$C$16</f>
        <v>130385.69122157608</v>
      </c>
      <c r="Y67" s="130">
        <f>Y63*$C$16</f>
        <v>139448.80061838782</v>
      </c>
    </row>
    <row r="68" spans="2:25" x14ac:dyDescent="0.35">
      <c r="B68" s="120" t="s">
        <v>214</v>
      </c>
      <c r="I68" s="130"/>
      <c r="J68" s="130">
        <f>J67-I67</f>
        <v>6668.9651458318185</v>
      </c>
      <c r="K68" s="130">
        <f>K67-J67</f>
        <v>4307.0328715139367</v>
      </c>
      <c r="L68" s="130">
        <f>L67-K67</f>
        <v>4901.201231977906</v>
      </c>
      <c r="M68" s="130">
        <f>M67-L67</f>
        <v>5679.0908982838446</v>
      </c>
      <c r="N68" s="130">
        <f>N67-M67</f>
        <v>6450.9858814081672</v>
      </c>
      <c r="O68" s="130">
        <f>O67-N67</f>
        <v>7178.5254034486425</v>
      </c>
      <c r="P68" s="130">
        <f>P67-O67</f>
        <v>7819.6995035899527</v>
      </c>
      <c r="Q68" s="130">
        <f>Q67-P67</f>
        <v>8334.7409096011615</v>
      </c>
      <c r="R68" s="130">
        <f>R67-Q67</f>
        <v>8693.4085865368979</v>
      </c>
      <c r="S68" s="130">
        <f>S67-R67</f>
        <v>8882.6311372344353</v>
      </c>
      <c r="T68" s="130">
        <f>T67-S67</f>
        <v>8913.1717133617931</v>
      </c>
      <c r="U68" s="130">
        <f>U67-T67</f>
        <v>8824.0600610478432</v>
      </c>
      <c r="V68" s="130">
        <f>V67-U67</f>
        <v>8684.0932575786719</v>
      </c>
      <c r="W68" s="130">
        <f>W67-V67</f>
        <v>8590.6720380203624</v>
      </c>
      <c r="X68" s="130">
        <f>X67-W67</f>
        <v>8667.4125821406487</v>
      </c>
      <c r="Y68" s="130">
        <f>Y67-X67</f>
        <v>9063.1093968117348</v>
      </c>
    </row>
    <row r="69" spans="2:25" ht="13.15" x14ac:dyDescent="0.4">
      <c r="B69" s="1" t="s">
        <v>215</v>
      </c>
      <c r="C69" s="1"/>
      <c r="D69" s="1"/>
      <c r="E69" s="1"/>
      <c r="F69" s="1"/>
      <c r="G69" s="1"/>
      <c r="H69" s="1"/>
      <c r="I69" s="135"/>
      <c r="J69" s="135">
        <f>J65-J66-J68</f>
        <v>-998.37170206623341</v>
      </c>
      <c r="K69" s="135">
        <f>K65-K66-K68</f>
        <v>2362.1078213960764</v>
      </c>
      <c r="L69" s="135">
        <f>L65-L66-L68</f>
        <v>2904.2393577969606</v>
      </c>
      <c r="M69" s="135">
        <f>M65-M66-M68</f>
        <v>3442.9963861630222</v>
      </c>
      <c r="N69" s="135">
        <f>N65-N66-N68</f>
        <v>4166.7050815602961</v>
      </c>
      <c r="O69" s="135">
        <f>O65-O66-O68</f>
        <v>5103.4428028944258</v>
      </c>
      <c r="P69" s="135">
        <f>P65-P66-P68</f>
        <v>6275.1964563555939</v>
      </c>
      <c r="Q69" s="135">
        <f>Q65-Q66-Q68</f>
        <v>7692.4905713148437</v>
      </c>
      <c r="R69" s="135">
        <f>R65-R66-R68</f>
        <v>9349.3123249772143</v>
      </c>
      <c r="S69" s="135">
        <f>S65-S66-S68</f>
        <v>11219.44876963658</v>
      </c>
      <c r="T69" s="135">
        <f>T65-T66-T68</f>
        <v>13255.347749704404</v>
      </c>
      <c r="U69" s="135">
        <f>U65-U66-U68</f>
        <v>15390.2392145015</v>
      </c>
      <c r="V69" s="135">
        <f>V65-V66-V68</f>
        <v>17543.535772433584</v>
      </c>
      <c r="W69" s="135">
        <f>W65-W66-W68</f>
        <v>19628.627867921838</v>
      </c>
      <c r="X69" s="135">
        <f>X65-X66-X68</f>
        <v>21561.349812081586</v>
      </c>
      <c r="Y69" s="135">
        <f>Y65-Y66-Y68</f>
        <v>23266.854271432894</v>
      </c>
    </row>
    <row r="70" spans="2:25" x14ac:dyDescent="0.35">
      <c r="B70" s="120" t="s">
        <v>216</v>
      </c>
      <c r="I70" s="133"/>
      <c r="J70" s="133">
        <f>$C$19</f>
        <v>0.49589041095890413</v>
      </c>
      <c r="K70" s="133">
        <f>J70+1</f>
        <v>1.4958904109589042</v>
      </c>
      <c r="L70" s="133">
        <f>K70+1</f>
        <v>2.4958904109589044</v>
      </c>
      <c r="M70" s="133">
        <f>L70+1</f>
        <v>3.4958904109589044</v>
      </c>
      <c r="N70" s="133">
        <f>M70+1</f>
        <v>4.4958904109589044</v>
      </c>
      <c r="O70" s="133">
        <f>N70+1</f>
        <v>5.4958904109589044</v>
      </c>
      <c r="P70" s="133">
        <f>O70+1</f>
        <v>6.4958904109589044</v>
      </c>
      <c r="Q70" s="133">
        <f>P70+1</f>
        <v>7.4958904109589044</v>
      </c>
      <c r="R70" s="133">
        <f>Q70+1</f>
        <v>8.4958904109589035</v>
      </c>
      <c r="S70" s="133">
        <f>R70+1</f>
        <v>9.4958904109589035</v>
      </c>
      <c r="T70" s="133">
        <f>S70+1</f>
        <v>10.495890410958904</v>
      </c>
      <c r="U70" s="133">
        <f>T70+1</f>
        <v>11.495890410958904</v>
      </c>
      <c r="V70" s="133">
        <f>U70+1</f>
        <v>12.495890410958904</v>
      </c>
      <c r="W70" s="133">
        <f>V70+1</f>
        <v>13.495890410958904</v>
      </c>
      <c r="X70" s="133">
        <f>W70+1</f>
        <v>14.495890410958904</v>
      </c>
      <c r="Y70" s="133">
        <f>X70+1</f>
        <v>15.495890410958904</v>
      </c>
    </row>
    <row r="71" spans="2:25" x14ac:dyDescent="0.35">
      <c r="B71" s="120" t="s">
        <v>217</v>
      </c>
      <c r="I71" s="134"/>
      <c r="J71" s="134">
        <f>1/(1+$C$55)^J70</f>
        <v>0.95349074531044764</v>
      </c>
      <c r="K71" s="134">
        <f>1/(1+$C$55)^K70</f>
        <v>0.86617695614187262</v>
      </c>
      <c r="L71" s="134">
        <f>1/(1+$C$55)^L70</f>
        <v>0.78685873254797167</v>
      </c>
      <c r="M71" s="134">
        <f>1/(1+$C$55)^M70</f>
        <v>0.71480389843757208</v>
      </c>
      <c r="N71" s="134">
        <f>1/(1+$C$55)^N70</f>
        <v>0.64934732511264392</v>
      </c>
      <c r="O71" s="134">
        <f>1/(1+$C$55)^O70</f>
        <v>0.58988479155275775</v>
      </c>
      <c r="P71" s="134">
        <f>1/(1+$C$55)^P70</f>
        <v>0.53586740693030221</v>
      </c>
      <c r="Q71" s="134">
        <f>1/(1+$C$55)^Q70</f>
        <v>0.48679654387143795</v>
      </c>
      <c r="R71" s="134">
        <f>1/(1+$C$55)^R70</f>
        <v>0.44221923569238192</v>
      </c>
      <c r="S71" s="134">
        <f>1/(1+$C$55)^S70</f>
        <v>0.40172399512351692</v>
      </c>
      <c r="T71" s="134">
        <f>1/(1+$C$55)^T70</f>
        <v>0.3649370159245191</v>
      </c>
      <c r="U71" s="134">
        <f>1/(1+$C$55)^U70</f>
        <v>0.33151872232811119</v>
      </c>
      <c r="V71" s="134">
        <f>1/(1+$C$55)^V70</f>
        <v>0.30116063446081115</v>
      </c>
      <c r="W71" s="134">
        <f>1/(1+$C$55)^W70</f>
        <v>0.2735825208057866</v>
      </c>
      <c r="X71" s="134">
        <f>1/(1+$C$55)^X70</f>
        <v>0.2485298114225758</v>
      </c>
      <c r="Y71" s="134">
        <f>1/(1+$C$55)^Y70</f>
        <v>0.22577124804544402</v>
      </c>
    </row>
    <row r="72" spans="2:25" x14ac:dyDescent="0.35">
      <c r="B72" s="120" t="s">
        <v>218</v>
      </c>
      <c r="I72" s="128"/>
      <c r="J72" s="128">
        <f>$C$19</f>
        <v>0.49589041095890413</v>
      </c>
      <c r="K72" s="128">
        <f>1</f>
        <v>1</v>
      </c>
      <c r="L72" s="128">
        <f>1</f>
        <v>1</v>
      </c>
      <c r="M72" s="128">
        <f>1</f>
        <v>1</v>
      </c>
      <c r="N72" s="128">
        <f>1</f>
        <v>1</v>
      </c>
      <c r="O72" s="128">
        <f>1</f>
        <v>1</v>
      </c>
      <c r="P72" s="128">
        <f>1</f>
        <v>1</v>
      </c>
      <c r="Q72" s="128">
        <f>1</f>
        <v>1</v>
      </c>
      <c r="R72" s="128">
        <f>1</f>
        <v>1</v>
      </c>
      <c r="S72" s="128">
        <f>1</f>
        <v>1</v>
      </c>
      <c r="T72" s="128">
        <f>1</f>
        <v>1</v>
      </c>
      <c r="U72" s="128">
        <f>1</f>
        <v>1</v>
      </c>
      <c r="V72" s="128">
        <f>1</f>
        <v>1</v>
      </c>
      <c r="W72" s="128">
        <f>1</f>
        <v>1</v>
      </c>
      <c r="X72" s="128">
        <f>1</f>
        <v>1</v>
      </c>
      <c r="Y72" s="128">
        <f>1</f>
        <v>1</v>
      </c>
    </row>
    <row r="73" spans="2:25" x14ac:dyDescent="0.35">
      <c r="B73" s="120" t="s">
        <v>219</v>
      </c>
      <c r="I73" s="130"/>
      <c r="J73" s="130">
        <f>J69*J72*J71</f>
        <v>-472.05701444465416</v>
      </c>
      <c r="K73" s="130">
        <f>K69*K72*K71</f>
        <v>2046.0033628157635</v>
      </c>
      <c r="L73" s="130">
        <f>L69*L72*L71</f>
        <v>2285.2261000920516</v>
      </c>
      <c r="M73" s="130">
        <f>M69*M72*M71</f>
        <v>2461.0672391358007</v>
      </c>
      <c r="N73" s="130">
        <f>N69*N72*N71</f>
        <v>2705.6387992444393</v>
      </c>
      <c r="O73" s="130">
        <f>O69*O72*O71</f>
        <v>3010.4432939868002</v>
      </c>
      <c r="P73" s="130">
        <f>P69*P72*P71</f>
        <v>3362.6732530454933</v>
      </c>
      <c r="Q73" s="130">
        <f>Q69*Q72*Q71</f>
        <v>3744.6778238796892</v>
      </c>
      <c r="R73" s="130">
        <f>R69*R72*R71</f>
        <v>4134.4457506007902</v>
      </c>
      <c r="S73" s="130">
        <f>S69*S72*S71</f>
        <v>4507.1217828220333</v>
      </c>
      <c r="T73" s="130">
        <f>T69*T72*T71</f>
        <v>4837.367052818915</v>
      </c>
      <c r="U73" s="130">
        <f>U69*U72*U71</f>
        <v>5102.1524407155312</v>
      </c>
      <c r="V73" s="130">
        <f>V69*V72*V71</f>
        <v>5283.4223639120346</v>
      </c>
      <c r="W73" s="130">
        <f>W69*W72*W71</f>
        <v>5370.0494920647689</v>
      </c>
      <c r="X73" s="130">
        <f>X69*X72*X71</f>
        <v>5358.6382028128264</v>
      </c>
      <c r="Y73" s="130">
        <f>Y69*Y72*Y71</f>
        <v>5252.986726952875</v>
      </c>
    </row>
    <row r="75" spans="2:25" ht="13.15" x14ac:dyDescent="0.4">
      <c r="B75" s="4" t="s">
        <v>220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2:25" x14ac:dyDescent="0.35">
      <c r="B76" s="120" t="s">
        <v>221</v>
      </c>
      <c r="C76" s="130">
        <f>SUM(J73:Y73)</f>
        <v>58989.856670455156</v>
      </c>
    </row>
    <row r="77" spans="2:25" x14ac:dyDescent="0.35">
      <c r="B77" s="120" t="s">
        <v>222</v>
      </c>
      <c r="C77" s="130">
        <f>Y63*(1+C17)</f>
        <v>620313.56344938162</v>
      </c>
    </row>
    <row r="78" spans="2:25" x14ac:dyDescent="0.35">
      <c r="B78" s="120" t="s">
        <v>223</v>
      </c>
      <c r="C78" s="130">
        <f>C77*C57*(1-C9)-C77*(C15-C14)-(C77-Y63)*C16</f>
        <v>25902.833451236031</v>
      </c>
    </row>
    <row r="79" spans="2:25" x14ac:dyDescent="0.35">
      <c r="B79" s="120" t="s">
        <v>224</v>
      </c>
      <c r="C79" s="130">
        <f>C78/(C55-C17)</f>
        <v>634816.74936152168</v>
      </c>
    </row>
    <row r="80" spans="2:25" x14ac:dyDescent="0.35">
      <c r="B80" s="120" t="s">
        <v>225</v>
      </c>
      <c r="C80" s="130">
        <f>C79*Y71</f>
        <v>143323.36978350257</v>
      </c>
    </row>
    <row r="81" spans="2:25" x14ac:dyDescent="0.35">
      <c r="B81" s="120" t="s">
        <v>226</v>
      </c>
      <c r="C81" s="130">
        <f>C76+C80</f>
        <v>202313.22645395773</v>
      </c>
    </row>
    <row r="82" spans="2:25" x14ac:dyDescent="0.35">
      <c r="B82" s="120" t="s">
        <v>227</v>
      </c>
      <c r="C82" s="130">
        <f>C58</f>
        <v>12634</v>
      </c>
    </row>
    <row r="83" spans="2:25" x14ac:dyDescent="0.35">
      <c r="B83" s="120" t="s">
        <v>228</v>
      </c>
      <c r="C83" s="130">
        <f>C81-C82</f>
        <v>189679.22645395773</v>
      </c>
    </row>
    <row r="84" spans="2:25" ht="13.15" x14ac:dyDescent="0.4">
      <c r="B84" s="138" t="s">
        <v>229</v>
      </c>
      <c r="C84" s="139">
        <f>C83/C8*10</f>
        <v>2131.2272635276149</v>
      </c>
    </row>
    <row r="85" spans="2:25" x14ac:dyDescent="0.35">
      <c r="B85" s="120" t="s">
        <v>230</v>
      </c>
      <c r="C85" s="136">
        <f>C84/C6-1</f>
        <v>-0.52804055550022921</v>
      </c>
    </row>
    <row r="86" spans="2:25" x14ac:dyDescent="0.35">
      <c r="B86" s="120" t="s">
        <v>231</v>
      </c>
      <c r="C86" s="136">
        <f>C80/C81</f>
        <v>0.70842313325530393</v>
      </c>
    </row>
    <row r="87" spans="2:25" x14ac:dyDescent="0.35">
      <c r="B87" s="120" t="s">
        <v>232</v>
      </c>
      <c r="C87" s="137">
        <f>C79/(Y63*(C57+C14))</f>
        <v>10.51710140577911</v>
      </c>
    </row>
    <row r="88" spans="2:25" x14ac:dyDescent="0.35">
      <c r="B88" s="120" t="s">
        <v>233</v>
      </c>
      <c r="C88" s="123">
        <f>ValuePerShare</f>
        <v>4057.5127121952833</v>
      </c>
    </row>
    <row r="90" spans="2:25" ht="13.15" x14ac:dyDescent="0.4">
      <c r="B90" s="4" t="s">
        <v>234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2:25" ht="13.15" x14ac:dyDescent="0.4">
      <c r="C91" s="140">
        <f>C84</f>
        <v>2131.2272635276149</v>
      </c>
      <c r="D91" s="141">
        <v>0.05</v>
      </c>
      <c r="E91" s="141">
        <v>5.5E-2</v>
      </c>
      <c r="F91" s="141">
        <v>0.06</v>
      </c>
      <c r="G91" s="141">
        <v>6.5000000000000002E-2</v>
      </c>
      <c r="H91" s="141">
        <v>7.0000000000000007E-2</v>
      </c>
    </row>
    <row r="92" spans="2:25" ht="13.15" x14ac:dyDescent="0.4">
      <c r="C92" s="142">
        <f>$C$54+(-0.01)</f>
        <v>9.0803638967132283E-2</v>
      </c>
      <c r="D92" s="125">
        <f t="dataTable" ref="D92:H96" dt2D="1" dtr="1" r1="C17" r2="C18"/>
        <v>2515.326666042014</v>
      </c>
      <c r="E92" s="125">
        <v>2741.3778077843226</v>
      </c>
      <c r="F92" s="125">
        <v>3040.8135071055276</v>
      </c>
      <c r="G92" s="125">
        <v>3456.2931875499448</v>
      </c>
      <c r="H92" s="125">
        <v>4071.4877741705523</v>
      </c>
    </row>
    <row r="93" spans="2:25" ht="13.15" x14ac:dyDescent="0.4">
      <c r="C93" s="142">
        <f>$C$54+(-0.005)</f>
        <v>9.5803638967132274E-2</v>
      </c>
      <c r="D93" s="125">
        <v>2154.4474408606443</v>
      </c>
      <c r="E93" s="125">
        <v>2315.1570527954427</v>
      </c>
      <c r="F93" s="125">
        <v>2520.7530552120361</v>
      </c>
      <c r="G93" s="125">
        <v>2793.0931207686917</v>
      </c>
      <c r="H93" s="125">
        <v>3170.9764648929763</v>
      </c>
    </row>
    <row r="94" spans="2:25" ht="13.15" x14ac:dyDescent="0.4">
      <c r="C94" s="142">
        <f>$C$54+(0)</f>
        <v>0.10080363896713228</v>
      </c>
      <c r="D94" s="125">
        <v>1867.7342028864887</v>
      </c>
      <c r="E94" s="125">
        <v>1985.0990668928207</v>
      </c>
      <c r="F94" s="125">
        <v>2131.2272635276149</v>
      </c>
      <c r="G94" s="125">
        <v>2318.1692435794916</v>
      </c>
      <c r="H94" s="125">
        <v>2565.7995014843018</v>
      </c>
    </row>
    <row r="95" spans="2:25" ht="13.15" x14ac:dyDescent="0.4">
      <c r="C95" s="142">
        <f>$C$54+(0.005)</f>
        <v>0.10580363896713228</v>
      </c>
      <c r="D95" s="125">
        <v>1635.0825973494761</v>
      </c>
      <c r="E95" s="125">
        <v>1722.6490552765333</v>
      </c>
      <c r="F95" s="125">
        <v>1829.3333081870617</v>
      </c>
      <c r="G95" s="125">
        <v>1962.163330350294</v>
      </c>
      <c r="H95" s="125">
        <v>2132.0929395932562</v>
      </c>
    </row>
    <row r="96" spans="2:25" ht="13.15" x14ac:dyDescent="0.4">
      <c r="C96" s="142">
        <f>$C$54+(0.01)</f>
        <v>0.11080363896713227</v>
      </c>
      <c r="D96" s="125">
        <v>1443.0114736770386</v>
      </c>
      <c r="E96" s="125">
        <v>1509.4959351387961</v>
      </c>
      <c r="F96" s="125">
        <v>1589.0669515823276</v>
      </c>
      <c r="G96" s="125">
        <v>1686.0101721209596</v>
      </c>
      <c r="H96" s="125">
        <v>1806.7118669017345</v>
      </c>
    </row>
    <row r="98" spans="2:25" ht="13.15" x14ac:dyDescent="0.4">
      <c r="B98" s="4" t="s">
        <v>235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2:25" x14ac:dyDescent="0.35">
      <c r="B99" s="143" t="s">
        <v>236</v>
      </c>
    </row>
    <row r="100" spans="2:25" x14ac:dyDescent="0.35">
      <c r="B100" s="143" t="s">
        <v>237</v>
      </c>
    </row>
    <row r="101" spans="2:25" x14ac:dyDescent="0.35">
      <c r="B101" s="143" t="s">
        <v>238</v>
      </c>
    </row>
    <row r="102" spans="2:25" x14ac:dyDescent="0.35">
      <c r="B102" s="143" t="s">
        <v>239</v>
      </c>
    </row>
    <row r="103" spans="2:25" x14ac:dyDescent="0.35">
      <c r="B103" s="143" t="s">
        <v>240</v>
      </c>
    </row>
  </sheetData>
  <dataValidations count="1">
    <dataValidation type="list" allowBlank="1" showInputMessage="1" showErrorMessage="1" sqref="C11" xr:uid="{FDB47404-CB59-4F47-87A9-437466271402}">
      <formula1>"Operating,Debt"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7762-2206-4A24-B961-17BD40082043}">
  <sheetPr>
    <tabColor rgb="FF1F3A5F"/>
    <pageSetUpPr fitToPage="1"/>
  </sheetPr>
  <dimension ref="A1:AD105"/>
  <sheetViews>
    <sheetView showGridLines="0" tabSelected="1" zoomScale="90" zoomScaleNormal="90" workbookViewId="0"/>
  </sheetViews>
  <sheetFormatPr defaultRowHeight="12.75" x14ac:dyDescent="0.35"/>
  <cols>
    <col min="1" max="1" width="2.59765625" customWidth="1"/>
    <col min="2" max="2" width="44.59765625" customWidth="1"/>
    <col min="3" max="3" width="19.59765625" customWidth="1"/>
    <col min="4" max="29" width="9.9296875" customWidth="1"/>
    <col min="30" max="30" width="2.59765625" customWidth="1"/>
  </cols>
  <sheetData>
    <row r="1" spans="1:30" ht="8" customHeight="1" x14ac:dyDescent="0.3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30" ht="26" customHeight="1" x14ac:dyDescent="0.35">
      <c r="A2" s="96"/>
      <c r="B2" s="97" t="s">
        <v>134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1:30" ht="15" customHeight="1" x14ac:dyDescent="0.35">
      <c r="A3" s="96"/>
      <c r="B3" s="98" t="s">
        <v>135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 spans="1:30" ht="10.050000000000001" customHeight="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spans="1:30" ht="22.05" customHeight="1" x14ac:dyDescent="0.35">
      <c r="A5" s="96"/>
      <c r="B5" s="99" t="s">
        <v>136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 spans="1:30" ht="27" customHeight="1" x14ac:dyDescent="0.35">
      <c r="A6" s="96"/>
      <c r="B6" s="100" t="s">
        <v>120</v>
      </c>
      <c r="C6" s="103">
        <f>(AC41/M41)^(1/AC40)-1</f>
        <v>0.12604316753141065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 spans="1:30" ht="27" customHeight="1" x14ac:dyDescent="0.35">
      <c r="A7" s="96"/>
      <c r="B7" s="101" t="s">
        <v>121</v>
      </c>
      <c r="C7" s="104" t="str">
        <f>TEXT(MarginStart,"0.0%")&amp;" → "&amp;TEXT(MarginEnd,"0.0%")</f>
        <v>6.7% → 6.6%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</row>
    <row r="8" spans="1:30" ht="27" customHeight="1" x14ac:dyDescent="0.35">
      <c r="A8" s="96"/>
      <c r="B8" s="102" t="s">
        <v>122</v>
      </c>
      <c r="C8" s="105" t="str">
        <f>(AC40-1)&amp;" years"</f>
        <v>15 years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</row>
    <row r="9" spans="1:30" ht="12" customHeight="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</row>
    <row r="10" spans="1:30" ht="22.05" customHeight="1" x14ac:dyDescent="0.35">
      <c r="A10" s="96"/>
      <c r="B10" s="99" t="s">
        <v>118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</row>
    <row r="11" spans="1:30" ht="27" customHeight="1" x14ac:dyDescent="0.35">
      <c r="A11" s="96"/>
      <c r="B11" s="100" t="s">
        <v>123</v>
      </c>
      <c r="C11" s="106" t="s">
        <v>124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</row>
    <row r="12" spans="1:30" ht="27" customHeight="1" x14ac:dyDescent="0.35">
      <c r="A12" s="96"/>
      <c r="B12" s="101" t="s">
        <v>125</v>
      </c>
      <c r="C12" s="107">
        <f>DiscountRate</f>
        <v>0.1026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 spans="1:30" ht="27" customHeight="1" x14ac:dyDescent="0.35">
      <c r="A13" s="96"/>
      <c r="B13" s="102" t="s">
        <v>126</v>
      </c>
      <c r="C13" s="108">
        <f>ExitMultiple</f>
        <v>26.522647545314999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 spans="1:30" ht="12" customHeight="1" x14ac:dyDescent="0.3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 spans="1:30" ht="22.05" customHeight="1" x14ac:dyDescent="0.35">
      <c r="A15" s="96"/>
      <c r="B15" s="99" t="s">
        <v>119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 spans="1:30" ht="20" customHeight="1" x14ac:dyDescent="0.35">
      <c r="A16" s="96"/>
      <c r="B16" s="111" t="s">
        <v>137</v>
      </c>
      <c r="C16" s="109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 spans="1:30" ht="36" customHeight="1" x14ac:dyDescent="0.35">
      <c r="A17" s="96"/>
      <c r="B17" s="112">
        <f>ValuePerShare</f>
        <v>4057.5127121952833</v>
      </c>
      <c r="C17" s="113" t="str">
        <f>C69</f>
        <v>Overvaluation 10%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 spans="1:30" ht="22.05" customHeight="1" x14ac:dyDescent="0.35">
      <c r="A18" s="96"/>
      <c r="B18" s="114" t="str">
        <f>"vs. market price "&amp;TEXT(Price,"#,##0.0")&amp;" INR · value is "&amp;TEXT(ABS(C68),"0.0%")&amp;IF(C68&lt;0," below"," above")&amp;" the price"</f>
        <v>vs. market price 4,515.7 INR · value is 10.1% below the price</v>
      </c>
      <c r="C18" s="110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 spans="1:30" ht="10.050000000000001" customHeight="1" x14ac:dyDescent="0.3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</row>
    <row r="20" spans="1:30" ht="16.05" customHeight="1" x14ac:dyDescent="0.35">
      <c r="A20" s="96"/>
      <c r="B20" s="116" t="s">
        <v>127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 spans="1:30" ht="8" customHeight="1" x14ac:dyDescent="0.3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2" spans="1:30" ht="8" customHeight="1" x14ac:dyDescent="0.3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</row>
    <row r="24" spans="1:30" ht="20" customHeight="1" x14ac:dyDescent="0.4">
      <c r="B24" s="4" t="s">
        <v>31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30" x14ac:dyDescent="0.35">
      <c r="B25" s="19" t="s">
        <v>32</v>
      </c>
      <c r="C25" s="20">
        <v>4515.7</v>
      </c>
      <c r="D25" s="10" t="s">
        <v>133</v>
      </c>
    </row>
    <row r="26" spans="1:30" x14ac:dyDescent="0.35">
      <c r="B26" s="22" t="s">
        <v>33</v>
      </c>
      <c r="C26" s="23">
        <v>890</v>
      </c>
      <c r="D26" s="10" t="s">
        <v>34</v>
      </c>
    </row>
    <row r="27" spans="1:30" x14ac:dyDescent="0.35">
      <c r="B27" s="22" t="s">
        <v>35</v>
      </c>
      <c r="C27" s="24" t="s">
        <v>36</v>
      </c>
      <c r="D27" s="10" t="s">
        <v>37</v>
      </c>
    </row>
    <row r="28" spans="1:30" x14ac:dyDescent="0.35">
      <c r="B28" s="22" t="s">
        <v>38</v>
      </c>
      <c r="C28" s="25">
        <v>0.126</v>
      </c>
      <c r="D28" s="10" t="s">
        <v>39</v>
      </c>
    </row>
    <row r="29" spans="1:30" x14ac:dyDescent="0.35">
      <c r="B29" s="22" t="s">
        <v>40</v>
      </c>
      <c r="C29" s="26">
        <v>6.7105625000000002E-2</v>
      </c>
      <c r="D29" s="10" t="s">
        <v>41</v>
      </c>
    </row>
    <row r="30" spans="1:30" x14ac:dyDescent="0.35">
      <c r="B30" s="22" t="s">
        <v>42</v>
      </c>
      <c r="C30" s="26">
        <v>6.6280000000000006E-2</v>
      </c>
      <c r="D30" s="10" t="s">
        <v>43</v>
      </c>
    </row>
    <row r="31" spans="1:30" x14ac:dyDescent="0.35">
      <c r="B31" s="22" t="s">
        <v>44</v>
      </c>
      <c r="C31" s="25">
        <v>0.1026</v>
      </c>
      <c r="D31" s="10" t="s">
        <v>45</v>
      </c>
    </row>
    <row r="32" spans="1:30" x14ac:dyDescent="0.35">
      <c r="B32" s="22" t="s">
        <v>46</v>
      </c>
      <c r="C32" s="27">
        <v>26.522647545314999</v>
      </c>
      <c r="D32" s="10" t="s">
        <v>47</v>
      </c>
    </row>
    <row r="33" spans="2:29" x14ac:dyDescent="0.35">
      <c r="B33" s="22" t="s">
        <v>48</v>
      </c>
      <c r="C33" s="28">
        <v>0</v>
      </c>
      <c r="D33" s="10" t="s">
        <v>49</v>
      </c>
    </row>
    <row r="34" spans="2:29" x14ac:dyDescent="0.35">
      <c r="B34" s="22" t="s">
        <v>128</v>
      </c>
      <c r="C34" s="117">
        <f>DATE(2026,10,1)</f>
        <v>46296</v>
      </c>
      <c r="D34" s="10" t="s">
        <v>129</v>
      </c>
    </row>
    <row r="35" spans="2:29" x14ac:dyDescent="0.35">
      <c r="B35" s="21" t="s">
        <v>50</v>
      </c>
      <c r="C35" s="29">
        <f>(DATE(2027,3,31)-C34)/365</f>
        <v>0.49589041095890413</v>
      </c>
      <c r="D35" s="10" t="s">
        <v>130</v>
      </c>
    </row>
    <row r="37" spans="2:29" ht="20" customHeight="1" x14ac:dyDescent="0.4">
      <c r="B37" s="4" t="s">
        <v>51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2:29" ht="13.15" x14ac:dyDescent="0.4">
      <c r="B38" s="5" t="s">
        <v>3</v>
      </c>
      <c r="C38" s="75" t="s">
        <v>52</v>
      </c>
      <c r="D38" s="67" t="s">
        <v>9</v>
      </c>
      <c r="E38" s="67" t="s">
        <v>10</v>
      </c>
      <c r="F38" s="67" t="s">
        <v>11</v>
      </c>
      <c r="G38" s="67" t="s">
        <v>12</v>
      </c>
      <c r="H38" s="67" t="s">
        <v>13</v>
      </c>
      <c r="I38" s="67" t="s">
        <v>14</v>
      </c>
      <c r="J38" s="67" t="s">
        <v>15</v>
      </c>
      <c r="K38" s="67" t="s">
        <v>16</v>
      </c>
      <c r="L38" s="67" t="s">
        <v>17</v>
      </c>
      <c r="M38" s="87" t="s">
        <v>18</v>
      </c>
      <c r="N38" s="68" t="s">
        <v>63</v>
      </c>
      <c r="O38" s="68" t="s">
        <v>65</v>
      </c>
      <c r="P38" s="68" t="s">
        <v>66</v>
      </c>
      <c r="Q38" s="68" t="s">
        <v>67</v>
      </c>
      <c r="R38" s="68" t="s">
        <v>68</v>
      </c>
      <c r="S38" s="68" t="s">
        <v>69</v>
      </c>
      <c r="T38" s="68" t="s">
        <v>70</v>
      </c>
      <c r="U38" s="68" t="s">
        <v>71</v>
      </c>
      <c r="V38" s="68" t="s">
        <v>72</v>
      </c>
      <c r="W38" s="68" t="s">
        <v>73</v>
      </c>
      <c r="X38" s="68" t="s">
        <v>74</v>
      </c>
      <c r="Y38" s="68" t="s">
        <v>75</v>
      </c>
      <c r="Z38" s="68" t="s">
        <v>76</v>
      </c>
      <c r="AA38" s="68" t="s">
        <v>77</v>
      </c>
      <c r="AB38" s="68" t="s">
        <v>78</v>
      </c>
      <c r="AC38" s="68" t="s">
        <v>79</v>
      </c>
    </row>
    <row r="39" spans="2:29" x14ac:dyDescent="0.35">
      <c r="B39" s="10" t="s">
        <v>53</v>
      </c>
      <c r="C39" s="10"/>
      <c r="D39" s="45" t="s">
        <v>62</v>
      </c>
      <c r="E39" s="45" t="s">
        <v>62</v>
      </c>
      <c r="F39" s="45" t="s">
        <v>62</v>
      </c>
      <c r="G39" s="45" t="s">
        <v>62</v>
      </c>
      <c r="H39" s="45" t="s">
        <v>62</v>
      </c>
      <c r="I39" s="45" t="s">
        <v>62</v>
      </c>
      <c r="J39" s="45" t="s">
        <v>62</v>
      </c>
      <c r="K39" s="45" t="s">
        <v>62</v>
      </c>
      <c r="L39" s="45" t="s">
        <v>62</v>
      </c>
      <c r="M39" s="88" t="s">
        <v>62</v>
      </c>
      <c r="N39" s="69" t="s">
        <v>64</v>
      </c>
      <c r="O39" s="69" t="s">
        <v>64</v>
      </c>
      <c r="P39" s="69" t="s">
        <v>64</v>
      </c>
      <c r="Q39" s="69" t="s">
        <v>64</v>
      </c>
      <c r="R39" s="69" t="s">
        <v>64</v>
      </c>
      <c r="S39" s="69" t="s">
        <v>64</v>
      </c>
      <c r="T39" s="69" t="s">
        <v>64</v>
      </c>
      <c r="U39" s="69" t="s">
        <v>64</v>
      </c>
      <c r="V39" s="69" t="s">
        <v>64</v>
      </c>
      <c r="W39" s="69" t="s">
        <v>64</v>
      </c>
      <c r="X39" s="69" t="s">
        <v>64</v>
      </c>
      <c r="Y39" s="69" t="s">
        <v>64</v>
      </c>
      <c r="Z39" s="69" t="s">
        <v>64</v>
      </c>
      <c r="AA39" s="69" t="s">
        <v>64</v>
      </c>
      <c r="AB39" s="69" t="s">
        <v>64</v>
      </c>
      <c r="AC39" s="69" t="s">
        <v>64</v>
      </c>
    </row>
    <row r="40" spans="2:29" x14ac:dyDescent="0.35">
      <c r="B40" s="70" t="s">
        <v>54</v>
      </c>
      <c r="C40" s="73"/>
      <c r="D40" s="71"/>
      <c r="E40" s="71"/>
      <c r="F40" s="71"/>
      <c r="G40" s="71"/>
      <c r="H40" s="71"/>
      <c r="I40" s="71"/>
      <c r="J40" s="71"/>
      <c r="K40" s="71"/>
      <c r="L40" s="71"/>
      <c r="M40" s="89"/>
      <c r="N40" s="72">
        <v>1</v>
      </c>
      <c r="O40" s="72">
        <f t="shared" ref="O40:AC40" si="0">N40+1</f>
        <v>2</v>
      </c>
      <c r="P40" s="72">
        <f t="shared" si="0"/>
        <v>3</v>
      </c>
      <c r="Q40" s="72">
        <f t="shared" si="0"/>
        <v>4</v>
      </c>
      <c r="R40" s="72">
        <f t="shared" si="0"/>
        <v>5</v>
      </c>
      <c r="S40" s="72">
        <f t="shared" si="0"/>
        <v>6</v>
      </c>
      <c r="T40" s="72">
        <f t="shared" si="0"/>
        <v>7</v>
      </c>
      <c r="U40" s="72">
        <f t="shared" si="0"/>
        <v>8</v>
      </c>
      <c r="V40" s="72">
        <f t="shared" si="0"/>
        <v>9</v>
      </c>
      <c r="W40" s="72">
        <f t="shared" si="0"/>
        <v>10</v>
      </c>
      <c r="X40" s="72">
        <f t="shared" si="0"/>
        <v>11</v>
      </c>
      <c r="Y40" s="72">
        <f t="shared" si="0"/>
        <v>12</v>
      </c>
      <c r="Z40" s="72">
        <f t="shared" si="0"/>
        <v>13</v>
      </c>
      <c r="AA40" s="72">
        <f t="shared" si="0"/>
        <v>14</v>
      </c>
      <c r="AB40" s="72">
        <f t="shared" si="0"/>
        <v>15</v>
      </c>
      <c r="AC40" s="72">
        <f t="shared" si="0"/>
        <v>16</v>
      </c>
    </row>
    <row r="41" spans="2:29" ht="13.15" x14ac:dyDescent="0.4">
      <c r="B41" s="37" t="s">
        <v>4</v>
      </c>
      <c r="C41" s="80" t="s">
        <v>58</v>
      </c>
      <c r="D41" s="81">
        <f>Data!C7/100</f>
        <v>133.821</v>
      </c>
      <c r="E41" s="81">
        <f>Data!C8/100</f>
        <v>161.56</v>
      </c>
      <c r="F41" s="81">
        <f>Data!C9/100</f>
        <v>197.785</v>
      </c>
      <c r="G41" s="81">
        <f>Data!C10/100</f>
        <v>210.51499999999999</v>
      </c>
      <c r="H41" s="81">
        <f>Data!C11/100</f>
        <v>216.44</v>
      </c>
      <c r="I41" s="81">
        <f>Data!C12/100</f>
        <v>287.99</v>
      </c>
      <c r="J41" s="81">
        <f>Data!C13/100</f>
        <v>405.75</v>
      </c>
      <c r="K41" s="81">
        <f>Data!C14/100</f>
        <v>510.84</v>
      </c>
      <c r="L41" s="81">
        <f>Data!C15/100</f>
        <v>604.55999999999995</v>
      </c>
      <c r="M41" s="90">
        <f>Data!C16/100</f>
        <v>875.84</v>
      </c>
      <c r="N41" s="82">
        <f t="shared" ref="N41:AC41" si="1">M41*(1+N42)</f>
        <v>1026.4285110860249</v>
      </c>
      <c r="O41" s="82">
        <f t="shared" si="1"/>
        <v>1207.1745610986927</v>
      </c>
      <c r="P41" s="82">
        <f t="shared" si="1"/>
        <v>1412.8550816390061</v>
      </c>
      <c r="Q41" s="82">
        <f t="shared" si="1"/>
        <v>1651.1799976889013</v>
      </c>
      <c r="R41" s="82">
        <f t="shared" si="1"/>
        <v>1921.8977403984352</v>
      </c>
      <c r="S41" s="82">
        <f t="shared" si="1"/>
        <v>2223.1469182652531</v>
      </c>
      <c r="T41" s="82">
        <f t="shared" si="1"/>
        <v>2551.3031779742937</v>
      </c>
      <c r="U41" s="82">
        <f t="shared" si="1"/>
        <v>2901.0733195613188</v>
      </c>
      <c r="V41" s="82">
        <f t="shared" si="1"/>
        <v>3265.8950680915164</v>
      </c>
      <c r="W41" s="82">
        <f t="shared" si="1"/>
        <v>3638.6576031520667</v>
      </c>
      <c r="X41" s="82">
        <f t="shared" si="1"/>
        <v>4012.7017835273391</v>
      </c>
      <c r="Y41" s="82">
        <f t="shared" si="1"/>
        <v>4383.0063641256111</v>
      </c>
      <c r="Z41" s="82">
        <f t="shared" si="1"/>
        <v>4747.4371918144789</v>
      </c>
      <c r="AA41" s="82">
        <f t="shared" si="1"/>
        <v>5107.9475673205443</v>
      </c>
      <c r="AB41" s="82">
        <f t="shared" si="1"/>
        <v>5471.678384982346</v>
      </c>
      <c r="AC41" s="82">
        <f t="shared" si="1"/>
        <v>5852.0147495224683</v>
      </c>
    </row>
    <row r="42" spans="2:29" x14ac:dyDescent="0.35">
      <c r="B42" s="79" t="s">
        <v>7</v>
      </c>
      <c r="C42" s="10" t="s">
        <v>57</v>
      </c>
      <c r="D42" s="76"/>
      <c r="E42" s="76">
        <f t="shared" ref="E42:M42" si="2">IF(D41=0,0,E41/D41-1)</f>
        <v>0.20728435746258067</v>
      </c>
      <c r="F42" s="76">
        <f t="shared" si="2"/>
        <v>0.22422010398613512</v>
      </c>
      <c r="G42" s="76">
        <f t="shared" si="2"/>
        <v>6.4362818211694428E-2</v>
      </c>
      <c r="H42" s="76">
        <f t="shared" si="2"/>
        <v>2.8145262807875993E-2</v>
      </c>
      <c r="I42" s="76">
        <f t="shared" si="2"/>
        <v>0.33057660321567184</v>
      </c>
      <c r="J42" s="76">
        <f t="shared" si="2"/>
        <v>0.40890308691273991</v>
      </c>
      <c r="K42" s="76">
        <f t="shared" si="2"/>
        <v>0.25900184842883545</v>
      </c>
      <c r="L42" s="76">
        <f t="shared" si="2"/>
        <v>0.18346253229974163</v>
      </c>
      <c r="M42" s="91">
        <f t="shared" si="2"/>
        <v>0.448723038242689</v>
      </c>
      <c r="N42" s="76">
        <f t="shared" ref="N42:AC42" si="3">IF(GrowthMode="Constant CAGR",ConstGrowth,N43)</f>
        <v>0.17193609687388656</v>
      </c>
      <c r="O42" s="76">
        <f t="shared" si="3"/>
        <v>0.17609219547246149</v>
      </c>
      <c r="P42" s="76">
        <f t="shared" si="3"/>
        <v>0.17038175518966889</v>
      </c>
      <c r="Q42" s="76">
        <f t="shared" si="3"/>
        <v>0.16868319981793356</v>
      </c>
      <c r="R42" s="76">
        <f t="shared" si="3"/>
        <v>0.16395410741920802</v>
      </c>
      <c r="S42" s="76">
        <f t="shared" si="3"/>
        <v>0.15674568502503414</v>
      </c>
      <c r="T42" s="76">
        <f t="shared" si="3"/>
        <v>0.14760889485662268</v>
      </c>
      <c r="U42" s="76">
        <f t="shared" si="3"/>
        <v>0.13709469913518435</v>
      </c>
      <c r="V42" s="76">
        <f t="shared" si="3"/>
        <v>0.12575406008192991</v>
      </c>
      <c r="W42" s="76">
        <f t="shared" si="3"/>
        <v>0.11413793991807009</v>
      </c>
      <c r="X42" s="76">
        <f t="shared" si="3"/>
        <v>0.10279730086481566</v>
      </c>
      <c r="Y42" s="76">
        <f t="shared" si="3"/>
        <v>9.2283105143377356E-2</v>
      </c>
      <c r="Z42" s="76">
        <f t="shared" si="3"/>
        <v>8.3146314974965857E-2</v>
      </c>
      <c r="AA42" s="76">
        <f t="shared" si="3"/>
        <v>7.5937892580792032E-2</v>
      </c>
      <c r="AB42" s="76">
        <f t="shared" si="3"/>
        <v>7.1208800182066476E-2</v>
      </c>
      <c r="AC42" s="76">
        <f t="shared" si="3"/>
        <v>6.9510000000000002E-2</v>
      </c>
    </row>
    <row r="43" spans="2:29" x14ac:dyDescent="0.35">
      <c r="B43" s="79" t="s">
        <v>55</v>
      </c>
      <c r="C43" s="10" t="s">
        <v>56</v>
      </c>
      <c r="M43" s="92"/>
      <c r="N43" s="16">
        <v>0.17193609687388656</v>
      </c>
      <c r="O43" s="16">
        <v>0.17609219547246149</v>
      </c>
      <c r="P43" s="16">
        <v>0.17038175518966889</v>
      </c>
      <c r="Q43" s="16">
        <v>0.16868319981793356</v>
      </c>
      <c r="R43" s="16">
        <v>0.16395410741920802</v>
      </c>
      <c r="S43" s="16">
        <v>0.15674568502503414</v>
      </c>
      <c r="T43" s="16">
        <v>0.14760889485662268</v>
      </c>
      <c r="U43" s="16">
        <v>0.13709469913518435</v>
      </c>
      <c r="V43" s="16">
        <v>0.12575406008192991</v>
      </c>
      <c r="W43" s="16">
        <v>0.11413793991807009</v>
      </c>
      <c r="X43" s="16">
        <v>0.10279730086481566</v>
      </c>
      <c r="Y43" s="16">
        <v>9.2283105143377356E-2</v>
      </c>
      <c r="Z43" s="16">
        <v>8.3146314974965857E-2</v>
      </c>
      <c r="AA43" s="16">
        <v>7.5937892580792032E-2</v>
      </c>
      <c r="AB43" s="16">
        <v>7.1208800182066476E-2</v>
      </c>
      <c r="AC43" s="16">
        <v>6.9510000000000002E-2</v>
      </c>
    </row>
    <row r="44" spans="2:29" x14ac:dyDescent="0.35">
      <c r="B44" s="19" t="s">
        <v>6</v>
      </c>
      <c r="C44" s="10" t="s">
        <v>57</v>
      </c>
      <c r="D44" s="77">
        <f t="shared" ref="D44:M44" si="4">IF(D41=0,0,D46/D41)</f>
        <v>5.3168037901375718E-2</v>
      </c>
      <c r="E44" s="77">
        <f t="shared" si="4"/>
        <v>6.9949244862589743E-2</v>
      </c>
      <c r="F44" s="77">
        <f t="shared" si="4"/>
        <v>7.0996283843567515E-2</v>
      </c>
      <c r="G44" s="77">
        <f t="shared" si="4"/>
        <v>7.1320333467923908E-2</v>
      </c>
      <c r="H44" s="77">
        <f t="shared" si="4"/>
        <v>4.495472186287193E-2</v>
      </c>
      <c r="I44" s="77">
        <f t="shared" si="4"/>
        <v>7.5454008819750687E-2</v>
      </c>
      <c r="J44" s="77">
        <f t="shared" si="4"/>
        <v>8.0098582871226121E-2</v>
      </c>
      <c r="K44" s="77">
        <f t="shared" si="4"/>
        <v>6.8436300994440535E-2</v>
      </c>
      <c r="L44" s="77">
        <f t="shared" si="4"/>
        <v>5.5197168188434564E-2</v>
      </c>
      <c r="M44" s="93">
        <f t="shared" si="4"/>
        <v>5.7921538180489583E-2</v>
      </c>
      <c r="N44" s="77">
        <f t="shared" ref="N44:AC44" si="5">MarginStart+(MarginEnd-MarginStart)*N45</f>
        <v>6.7096352844238288E-2</v>
      </c>
      <c r="O44" s="77">
        <f t="shared" si="5"/>
        <v>6.7070148925781253E-2</v>
      </c>
      <c r="P44" s="77">
        <f t="shared" si="5"/>
        <v>6.7029432067871098E-2</v>
      </c>
      <c r="Q44" s="77">
        <f t="shared" si="5"/>
        <v>6.6976621093750008E-2</v>
      </c>
      <c r="R44" s="77">
        <f t="shared" si="5"/>
        <v>6.6914134826660157E-2</v>
      </c>
      <c r="S44" s="77">
        <f t="shared" si="5"/>
        <v>6.684439208984376E-2</v>
      </c>
      <c r="T44" s="77">
        <f t="shared" si="5"/>
        <v>6.6769811706542975E-2</v>
      </c>
      <c r="U44" s="77">
        <f t="shared" si="5"/>
        <v>6.6692812500000004E-2</v>
      </c>
      <c r="V44" s="77">
        <f t="shared" si="5"/>
        <v>6.6615813293457032E-2</v>
      </c>
      <c r="W44" s="77">
        <f t="shared" si="5"/>
        <v>6.6541232910156248E-2</v>
      </c>
      <c r="X44" s="77">
        <f t="shared" si="5"/>
        <v>6.6471490173339851E-2</v>
      </c>
      <c r="Y44" s="77">
        <f t="shared" si="5"/>
        <v>6.640900390625E-2</v>
      </c>
      <c r="Z44" s="77">
        <f t="shared" si="5"/>
        <v>6.635619293212891E-2</v>
      </c>
      <c r="AA44" s="77">
        <f t="shared" si="5"/>
        <v>6.6315476074218754E-2</v>
      </c>
      <c r="AB44" s="77">
        <f t="shared" si="5"/>
        <v>6.6289272155761719E-2</v>
      </c>
      <c r="AC44" s="77">
        <f t="shared" si="5"/>
        <v>6.6280000000000006E-2</v>
      </c>
    </row>
    <row r="45" spans="2:29" x14ac:dyDescent="0.35">
      <c r="B45" s="79" t="s">
        <v>60</v>
      </c>
      <c r="C45" s="10" t="s">
        <v>61</v>
      </c>
      <c r="M45" s="92"/>
      <c r="N45" s="78">
        <f t="shared" ref="N45:AC45" si="6">3*(N$40/$AC$40)^2-2*(N$40/$AC$40)^3</f>
        <v>1.123046875E-2</v>
      </c>
      <c r="O45" s="78">
        <f t="shared" si="6"/>
        <v>4.296875E-2</v>
      </c>
      <c r="P45" s="78">
        <f t="shared" si="6"/>
        <v>9.228515625E-2</v>
      </c>
      <c r="Q45" s="78">
        <f t="shared" si="6"/>
        <v>0.15625</v>
      </c>
      <c r="R45" s="78">
        <f t="shared" si="6"/>
        <v>0.23193359375</v>
      </c>
      <c r="S45" s="78">
        <f t="shared" si="6"/>
        <v>0.31640625</v>
      </c>
      <c r="T45" s="78">
        <f t="shared" si="6"/>
        <v>0.40673828125</v>
      </c>
      <c r="U45" s="78">
        <f t="shared" si="6"/>
        <v>0.5</v>
      </c>
      <c r="V45" s="78">
        <f t="shared" si="6"/>
        <v>0.59326171875</v>
      </c>
      <c r="W45" s="78">
        <f t="shared" si="6"/>
        <v>0.68359375</v>
      </c>
      <c r="X45" s="78">
        <f t="shared" si="6"/>
        <v>0.76806640625</v>
      </c>
      <c r="Y45" s="78">
        <f t="shared" si="6"/>
        <v>0.84375</v>
      </c>
      <c r="Z45" s="78">
        <f t="shared" si="6"/>
        <v>0.90771484375</v>
      </c>
      <c r="AA45" s="78">
        <f t="shared" si="6"/>
        <v>0.95703125</v>
      </c>
      <c r="AB45" s="78">
        <f t="shared" si="6"/>
        <v>0.98876953125</v>
      </c>
      <c r="AC45" s="78">
        <f t="shared" si="6"/>
        <v>1</v>
      </c>
    </row>
    <row r="46" spans="2:29" ht="13.15" x14ac:dyDescent="0.4">
      <c r="B46" s="37" t="s">
        <v>5</v>
      </c>
      <c r="C46" s="80" t="s">
        <v>58</v>
      </c>
      <c r="D46" s="81">
        <f>Data!D7/100</f>
        <v>7.1150000000000002</v>
      </c>
      <c r="E46" s="81">
        <f>Data!D8/100</f>
        <v>11.300999999999998</v>
      </c>
      <c r="F46" s="81">
        <f>Data!D9/100</f>
        <v>14.042</v>
      </c>
      <c r="G46" s="81">
        <f>Data!D10/100</f>
        <v>15.014000000000001</v>
      </c>
      <c r="H46" s="81">
        <f>Data!D11/100</f>
        <v>9.73</v>
      </c>
      <c r="I46" s="81">
        <f>Data!D12/100</f>
        <v>21.73</v>
      </c>
      <c r="J46" s="81">
        <f>Data!D13/100</f>
        <v>32.5</v>
      </c>
      <c r="K46" s="81">
        <f>Data!D14/100</f>
        <v>34.96</v>
      </c>
      <c r="L46" s="81">
        <f>Data!D15/100</f>
        <v>33.369999999999997</v>
      </c>
      <c r="M46" s="90">
        <f>Data!D16/100</f>
        <v>50.73</v>
      </c>
      <c r="N46" s="82">
        <f t="shared" ref="N46:AC46" si="7">N41*N44</f>
        <v>68.869609549214076</v>
      </c>
      <c r="O46" s="82">
        <f t="shared" si="7"/>
        <v>80.965377592303938</v>
      </c>
      <c r="P46" s="82">
        <f t="shared" si="7"/>
        <v>94.702873716468233</v>
      </c>
      <c r="Q46" s="82">
        <f t="shared" si="7"/>
        <v>110.59045706278856</v>
      </c>
      <c r="R46" s="82">
        <f t="shared" si="7"/>
        <v>128.60212452407438</v>
      </c>
      <c r="S46" s="82">
        <f t="shared" si="7"/>
        <v>148.60490427785041</v>
      </c>
      <c r="T46" s="82">
        <f t="shared" si="7"/>
        <v>170.35003279964829</v>
      </c>
      <c r="U46" s="82">
        <f t="shared" si="7"/>
        <v>193.48073895025564</v>
      </c>
      <c r="V46" s="82">
        <f t="shared" si="7"/>
        <v>217.5602560920066</v>
      </c>
      <c r="W46" s="82">
        <f t="shared" si="7"/>
        <v>242.12076305165255</v>
      </c>
      <c r="X46" s="82">
        <f t="shared" si="7"/>
        <v>266.73026717228083</v>
      </c>
      <c r="Y46" s="82">
        <f t="shared" si="7"/>
        <v>291.07108675633634</v>
      </c>
      <c r="Z46" s="82">
        <f t="shared" si="7"/>
        <v>315.02185823320582</v>
      </c>
      <c r="AA46" s="82">
        <f t="shared" si="7"/>
        <v>338.73597468900942</v>
      </c>
      <c r="AB46" s="82">
        <f t="shared" si="7"/>
        <v>362.71357761089348</v>
      </c>
      <c r="AC46" s="82">
        <f t="shared" si="7"/>
        <v>387.87153759834922</v>
      </c>
    </row>
    <row r="47" spans="2:29" x14ac:dyDescent="0.35">
      <c r="B47" s="79" t="s">
        <v>59</v>
      </c>
      <c r="C47" s="10" t="s">
        <v>57</v>
      </c>
      <c r="D47" s="76"/>
      <c r="E47" s="76">
        <f t="shared" ref="E47:AC47" si="8">IF(D46=0,0,E46/D46-1)</f>
        <v>0.58833450456781411</v>
      </c>
      <c r="F47" s="76">
        <f t="shared" si="8"/>
        <v>0.24254490753030722</v>
      </c>
      <c r="G47" s="76">
        <f t="shared" si="8"/>
        <v>6.9220908702464223E-2</v>
      </c>
      <c r="H47" s="76">
        <f t="shared" si="8"/>
        <v>-0.35193819102171309</v>
      </c>
      <c r="I47" s="76">
        <f t="shared" si="8"/>
        <v>1.2332990750256938</v>
      </c>
      <c r="J47" s="76">
        <f t="shared" si="8"/>
        <v>0.49562816382880803</v>
      </c>
      <c r="K47" s="76">
        <f t="shared" si="8"/>
        <v>7.5692307692307725E-2</v>
      </c>
      <c r="L47" s="76">
        <f t="shared" si="8"/>
        <v>-4.548054919908473E-2</v>
      </c>
      <c r="M47" s="91">
        <f t="shared" si="8"/>
        <v>0.52022774947557693</v>
      </c>
      <c r="N47" s="76">
        <f t="shared" si="8"/>
        <v>0.3575716449677524</v>
      </c>
      <c r="O47" s="76">
        <f t="shared" si="8"/>
        <v>0.17563288251904852</v>
      </c>
      <c r="P47" s="76">
        <f t="shared" si="8"/>
        <v>0.16967124137107836</v>
      </c>
      <c r="Q47" s="76">
        <f t="shared" si="8"/>
        <v>0.16776242074645276</v>
      </c>
      <c r="R47" s="76">
        <f t="shared" si="8"/>
        <v>0.16286818898903332</v>
      </c>
      <c r="S47" s="76">
        <f t="shared" si="8"/>
        <v>0.15554004125360699</v>
      </c>
      <c r="T47" s="76">
        <f t="shared" si="8"/>
        <v>0.14632847164411511</v>
      </c>
      <c r="U47" s="76">
        <f t="shared" si="8"/>
        <v>0.13578339710572163</v>
      </c>
      <c r="V47" s="76">
        <f t="shared" si="8"/>
        <v>0.12445433727613509</v>
      </c>
      <c r="W47" s="76">
        <f t="shared" si="8"/>
        <v>0.11289059592418971</v>
      </c>
      <c r="X47" s="76">
        <f t="shared" si="8"/>
        <v>0.1016414445851479</v>
      </c>
      <c r="Y47" s="76">
        <f t="shared" si="8"/>
        <v>9.1256308637571282E-2</v>
      </c>
      <c r="Z47" s="76">
        <f t="shared" si="8"/>
        <v>8.2284955691663386E-2</v>
      </c>
      <c r="AA47" s="76">
        <f t="shared" si="8"/>
        <v>7.5277685773310399E-2</v>
      </c>
      <c r="AB47" s="76">
        <f t="shared" si="8"/>
        <v>7.0785522393650879E-2</v>
      </c>
      <c r="AC47" s="76">
        <f t="shared" si="8"/>
        <v>6.9360403195174447E-2</v>
      </c>
    </row>
    <row r="48" spans="2:29" x14ac:dyDescent="0.35">
      <c r="C48" s="10"/>
      <c r="M48" s="92"/>
    </row>
    <row r="49" spans="2:29" ht="20" customHeight="1" x14ac:dyDescent="0.4">
      <c r="B49" s="4" t="s">
        <v>80</v>
      </c>
      <c r="C49" s="74"/>
      <c r="D49" s="4"/>
      <c r="E49" s="4"/>
      <c r="F49" s="4"/>
      <c r="G49" s="4"/>
      <c r="H49" s="4"/>
      <c r="I49" s="4"/>
      <c r="J49" s="4"/>
      <c r="K49" s="4"/>
      <c r="L49" s="4"/>
      <c r="M49" s="9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2:29" x14ac:dyDescent="0.35">
      <c r="B50" s="19" t="s">
        <v>87</v>
      </c>
      <c r="C50" s="10" t="s">
        <v>88</v>
      </c>
      <c r="M50" s="92"/>
      <c r="N50" s="18">
        <f t="shared" ref="N50:AC50" si="9">IF(N$40=1,StubFraction,1)</f>
        <v>0.49589041095890413</v>
      </c>
      <c r="O50" s="18">
        <f t="shared" si="9"/>
        <v>1</v>
      </c>
      <c r="P50" s="18">
        <f t="shared" si="9"/>
        <v>1</v>
      </c>
      <c r="Q50" s="18">
        <f t="shared" si="9"/>
        <v>1</v>
      </c>
      <c r="R50" s="18">
        <f t="shared" si="9"/>
        <v>1</v>
      </c>
      <c r="S50" s="18">
        <f t="shared" si="9"/>
        <v>1</v>
      </c>
      <c r="T50" s="18">
        <f t="shared" si="9"/>
        <v>1</v>
      </c>
      <c r="U50" s="18">
        <f t="shared" si="9"/>
        <v>1</v>
      </c>
      <c r="V50" s="18">
        <f t="shared" si="9"/>
        <v>1</v>
      </c>
      <c r="W50" s="18">
        <f t="shared" si="9"/>
        <v>1</v>
      </c>
      <c r="X50" s="18">
        <f t="shared" si="9"/>
        <v>1</v>
      </c>
      <c r="Y50" s="18">
        <f t="shared" si="9"/>
        <v>1</v>
      </c>
      <c r="Z50" s="18">
        <f t="shared" si="9"/>
        <v>1</v>
      </c>
      <c r="AA50" s="18">
        <f t="shared" si="9"/>
        <v>1</v>
      </c>
      <c r="AB50" s="18">
        <f t="shared" si="9"/>
        <v>1</v>
      </c>
      <c r="AC50" s="18">
        <f t="shared" si="9"/>
        <v>1</v>
      </c>
    </row>
    <row r="51" spans="2:29" x14ac:dyDescent="0.35">
      <c r="B51" s="19" t="s">
        <v>86</v>
      </c>
      <c r="C51" s="10" t="s">
        <v>58</v>
      </c>
      <c r="M51" s="92"/>
      <c r="N51" s="17">
        <f t="shared" ref="N51:AC51" si="10">N46*N50</f>
        <v>34.151778981939039</v>
      </c>
      <c r="O51" s="17">
        <f t="shared" si="10"/>
        <v>80.965377592303938</v>
      </c>
      <c r="P51" s="17">
        <f t="shared" si="10"/>
        <v>94.702873716468233</v>
      </c>
      <c r="Q51" s="17">
        <f t="shared" si="10"/>
        <v>110.59045706278856</v>
      </c>
      <c r="R51" s="17">
        <f t="shared" si="10"/>
        <v>128.60212452407438</v>
      </c>
      <c r="S51" s="17">
        <f t="shared" si="10"/>
        <v>148.60490427785041</v>
      </c>
      <c r="T51" s="17">
        <f t="shared" si="10"/>
        <v>170.35003279964829</v>
      </c>
      <c r="U51" s="17">
        <f t="shared" si="10"/>
        <v>193.48073895025564</v>
      </c>
      <c r="V51" s="17">
        <f t="shared" si="10"/>
        <v>217.5602560920066</v>
      </c>
      <c r="W51" s="17">
        <f t="shared" si="10"/>
        <v>242.12076305165255</v>
      </c>
      <c r="X51" s="17">
        <f t="shared" si="10"/>
        <v>266.73026717228083</v>
      </c>
      <c r="Y51" s="17">
        <f t="shared" si="10"/>
        <v>291.07108675633634</v>
      </c>
      <c r="Z51" s="17">
        <f t="shared" si="10"/>
        <v>315.02185823320582</v>
      </c>
      <c r="AA51" s="17">
        <f t="shared" si="10"/>
        <v>338.73597468900942</v>
      </c>
      <c r="AB51" s="17">
        <f t="shared" si="10"/>
        <v>362.71357761089348</v>
      </c>
      <c r="AC51" s="17">
        <f t="shared" si="10"/>
        <v>387.87153759834922</v>
      </c>
    </row>
    <row r="52" spans="2:29" x14ac:dyDescent="0.35">
      <c r="B52" s="19" t="s">
        <v>84</v>
      </c>
      <c r="C52" s="10" t="s">
        <v>85</v>
      </c>
      <c r="M52" s="92"/>
      <c r="N52" s="18">
        <f t="shared" ref="N52:AC52" si="11">StubFraction+N$40-1</f>
        <v>0.49589041095890418</v>
      </c>
      <c r="O52" s="18">
        <f t="shared" si="11"/>
        <v>1.495890410958904</v>
      </c>
      <c r="P52" s="18">
        <f t="shared" si="11"/>
        <v>2.495890410958904</v>
      </c>
      <c r="Q52" s="18">
        <f t="shared" si="11"/>
        <v>3.4958904109589044</v>
      </c>
      <c r="R52" s="18">
        <f t="shared" si="11"/>
        <v>4.4958904109589044</v>
      </c>
      <c r="S52" s="18">
        <f t="shared" si="11"/>
        <v>5.4958904109589044</v>
      </c>
      <c r="T52" s="18">
        <f t="shared" si="11"/>
        <v>6.4958904109589044</v>
      </c>
      <c r="U52" s="18">
        <f t="shared" si="11"/>
        <v>7.4958904109589035</v>
      </c>
      <c r="V52" s="18">
        <f t="shared" si="11"/>
        <v>8.4958904109589035</v>
      </c>
      <c r="W52" s="18">
        <f t="shared" si="11"/>
        <v>9.4958904109589035</v>
      </c>
      <c r="X52" s="18">
        <f t="shared" si="11"/>
        <v>10.495890410958904</v>
      </c>
      <c r="Y52" s="18">
        <f t="shared" si="11"/>
        <v>11.495890410958904</v>
      </c>
      <c r="Z52" s="18">
        <f t="shared" si="11"/>
        <v>12.495890410958904</v>
      </c>
      <c r="AA52" s="18">
        <f t="shared" si="11"/>
        <v>13.495890410958904</v>
      </c>
      <c r="AB52" s="18">
        <f t="shared" si="11"/>
        <v>14.495890410958904</v>
      </c>
      <c r="AC52" s="18">
        <f t="shared" si="11"/>
        <v>15.495890410958904</v>
      </c>
    </row>
    <row r="53" spans="2:29" x14ac:dyDescent="0.35">
      <c r="B53" s="19" t="s">
        <v>82</v>
      </c>
      <c r="C53" s="10" t="s">
        <v>83</v>
      </c>
      <c r="M53" s="92"/>
      <c r="N53" s="30">
        <f t="shared" ref="N53:AC53" si="12">1/(1+DiscountRate)^N52</f>
        <v>0.95272009690932868</v>
      </c>
      <c r="O53" s="30">
        <f t="shared" si="12"/>
        <v>0.86406683920671923</v>
      </c>
      <c r="P53" s="30">
        <f t="shared" si="12"/>
        <v>0.78366301397308114</v>
      </c>
      <c r="Q53" s="30">
        <f t="shared" si="12"/>
        <v>0.71074098854805101</v>
      </c>
      <c r="R53" s="30">
        <f t="shared" si="12"/>
        <v>0.64460456062765381</v>
      </c>
      <c r="S53" s="30">
        <f t="shared" si="12"/>
        <v>0.58462231147075439</v>
      </c>
      <c r="T53" s="30">
        <f t="shared" si="12"/>
        <v>0.53022157760815736</v>
      </c>
      <c r="U53" s="30">
        <f t="shared" si="12"/>
        <v>0.48088298350095904</v>
      </c>
      <c r="V53" s="30">
        <f t="shared" si="12"/>
        <v>0.43613548295026217</v>
      </c>
      <c r="W53" s="30">
        <f t="shared" si="12"/>
        <v>0.39555186191752412</v>
      </c>
      <c r="X53" s="30">
        <f t="shared" si="12"/>
        <v>0.35874465981999287</v>
      </c>
      <c r="Y53" s="30">
        <f t="shared" si="12"/>
        <v>0.32536247036095856</v>
      </c>
      <c r="Z53" s="30">
        <f t="shared" si="12"/>
        <v>0.29508658657805054</v>
      </c>
      <c r="AA53" s="30">
        <f t="shared" si="12"/>
        <v>0.26762795807913164</v>
      </c>
      <c r="AB53" s="30">
        <f t="shared" si="12"/>
        <v>0.24272443141586397</v>
      </c>
      <c r="AC53" s="30">
        <f t="shared" si="12"/>
        <v>0.22013824724819878</v>
      </c>
    </row>
    <row r="54" spans="2:29" ht="13.15" x14ac:dyDescent="0.4">
      <c r="B54" s="83" t="s">
        <v>81</v>
      </c>
      <c r="C54" s="84" t="s">
        <v>58</v>
      </c>
      <c r="D54" s="85"/>
      <c r="E54" s="85"/>
      <c r="F54" s="85"/>
      <c r="G54" s="85"/>
      <c r="H54" s="85"/>
      <c r="I54" s="85"/>
      <c r="J54" s="85"/>
      <c r="K54" s="85"/>
      <c r="L54" s="85"/>
      <c r="M54" s="95"/>
      <c r="N54" s="86">
        <f t="shared" ref="N54:AC54" si="13">N51*N53</f>
        <v>32.537086181298939</v>
      </c>
      <c r="O54" s="86">
        <f t="shared" si="13"/>
        <v>69.959497901360592</v>
      </c>
      <c r="P54" s="86">
        <f t="shared" si="13"/>
        <v>74.215139448559583</v>
      </c>
      <c r="Q54" s="86">
        <f t="shared" si="13"/>
        <v>78.601170776787129</v>
      </c>
      <c r="R54" s="86">
        <f t="shared" si="13"/>
        <v>82.897515974623786</v>
      </c>
      <c r="S54" s="86">
        <f t="shared" si="13"/>
        <v>86.877742634807106</v>
      </c>
      <c r="T54" s="86">
        <f t="shared" si="13"/>
        <v>90.323263136630871</v>
      </c>
      <c r="U54" s="86">
        <f t="shared" si="13"/>
        <v>93.041594996369142</v>
      </c>
      <c r="V54" s="86">
        <f t="shared" si="13"/>
        <v>94.88574736147001</v>
      </c>
      <c r="W54" s="86">
        <f t="shared" si="13"/>
        <v>95.77131863397284</v>
      </c>
      <c r="X54" s="86">
        <f t="shared" si="13"/>
        <v>95.688058960415702</v>
      </c>
      <c r="Y54" s="86">
        <f t="shared" si="13"/>
        <v>94.703607837690484</v>
      </c>
      <c r="Z54" s="86">
        <f t="shared" si="13"/>
        <v>92.958724843511249</v>
      </c>
      <c r="AA54" s="86">
        <f t="shared" si="13"/>
        <v>90.655217233964009</v>
      </c>
      <c r="AB54" s="86">
        <f t="shared" si="13"/>
        <v>88.039446892417971</v>
      </c>
      <c r="AC54" s="86">
        <f t="shared" si="13"/>
        <v>85.385360444364423</v>
      </c>
    </row>
    <row r="56" spans="2:29" ht="20" customHeight="1" x14ac:dyDescent="0.4">
      <c r="B56" s="4" t="s">
        <v>89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2:29" x14ac:dyDescent="0.35">
      <c r="B57" s="19" t="s">
        <v>90</v>
      </c>
      <c r="C57" s="31">
        <f>SUM(N54:AC54)</f>
        <v>1346.5404932582437</v>
      </c>
    </row>
    <row r="58" spans="2:29" x14ac:dyDescent="0.35">
      <c r="B58" s="22" t="s">
        <v>91</v>
      </c>
      <c r="C58" s="32">
        <f>AC46</f>
        <v>387.87153759834922</v>
      </c>
    </row>
    <row r="59" spans="2:29" x14ac:dyDescent="0.35">
      <c r="B59" s="22" t="s">
        <v>92</v>
      </c>
      <c r="C59" s="33">
        <f>ExitMultiple</f>
        <v>26.522647545314999</v>
      </c>
    </row>
    <row r="60" spans="2:29" x14ac:dyDescent="0.35">
      <c r="B60" s="22" t="s">
        <v>93</v>
      </c>
      <c r="C60" s="32">
        <f>C58*C59</f>
        <v>10287.380084580411</v>
      </c>
    </row>
    <row r="61" spans="2:29" x14ac:dyDescent="0.35">
      <c r="B61" s="22" t="s">
        <v>94</v>
      </c>
      <c r="C61" s="34">
        <f>AC53</f>
        <v>0.22013824724819878</v>
      </c>
    </row>
    <row r="62" spans="2:29" x14ac:dyDescent="0.35">
      <c r="B62" s="22" t="s">
        <v>95</v>
      </c>
      <c r="C62" s="32">
        <f>C60*C61</f>
        <v>2264.6458205955587</v>
      </c>
    </row>
    <row r="63" spans="2:29" x14ac:dyDescent="0.35">
      <c r="B63" s="22" t="s">
        <v>48</v>
      </c>
      <c r="C63" s="32">
        <f>NetAdj</f>
        <v>0</v>
      </c>
    </row>
    <row r="64" spans="2:29" ht="13.15" x14ac:dyDescent="0.4">
      <c r="B64" s="39" t="s">
        <v>96</v>
      </c>
      <c r="C64" s="40">
        <f>C57+C62+C63</f>
        <v>3611.1863138538024</v>
      </c>
    </row>
    <row r="65" spans="2:29" x14ac:dyDescent="0.35">
      <c r="B65" s="19" t="s">
        <v>97</v>
      </c>
      <c r="C65" s="38">
        <f>Shares</f>
        <v>890</v>
      </c>
    </row>
    <row r="66" spans="2:29" ht="13.9" x14ac:dyDescent="0.4">
      <c r="B66" s="39" t="s">
        <v>138</v>
      </c>
      <c r="C66" s="42">
        <f>IF(C65=0,0,C64/C65*1000)</f>
        <v>4057.5127121952833</v>
      </c>
    </row>
    <row r="67" spans="2:29" x14ac:dyDescent="0.35">
      <c r="B67" s="19" t="s">
        <v>32</v>
      </c>
      <c r="C67" s="41">
        <f>Price</f>
        <v>4515.7</v>
      </c>
    </row>
    <row r="68" spans="2:29" x14ac:dyDescent="0.35">
      <c r="B68" s="22" t="s">
        <v>139</v>
      </c>
      <c r="C68" s="35">
        <f>IF(C67=0,0,C66/C67-1)</f>
        <v>-0.1014653957979309</v>
      </c>
    </row>
    <row r="69" spans="2:29" ht="13.15" x14ac:dyDescent="0.4">
      <c r="B69" s="22" t="s">
        <v>98</v>
      </c>
      <c r="C69" s="115" t="str">
        <f>IF(C66&lt;C67,"Overvaluation","Undervaluation")&amp;" "&amp;TEXT(ABS(C68),"0%")</f>
        <v>Overvaluation 10%</v>
      </c>
    </row>
    <row r="70" spans="2:29" x14ac:dyDescent="0.35">
      <c r="B70" s="21" t="s">
        <v>99</v>
      </c>
      <c r="C70" s="36">
        <f>IF(C64=0,0,C62/C64)</f>
        <v>0.62711962877893268</v>
      </c>
    </row>
    <row r="74" spans="2:29" ht="20" customHeight="1" x14ac:dyDescent="0.4">
      <c r="B74" s="4" t="s">
        <v>140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2:29" ht="13.15" x14ac:dyDescent="0.4">
      <c r="B75" s="1" t="s">
        <v>100</v>
      </c>
      <c r="J75" s="45" t="s">
        <v>102</v>
      </c>
      <c r="K75" s="16">
        <v>5.0000000000000001E-3</v>
      </c>
    </row>
    <row r="76" spans="2:29" ht="13.15" x14ac:dyDescent="0.4">
      <c r="C76" s="48" t="s">
        <v>106</v>
      </c>
      <c r="D76" s="49">
        <f>ExitMultiple+(-2)*$K$76</f>
        <v>20.522647545314999</v>
      </c>
      <c r="E76" s="49">
        <f>ExitMultiple+(-1)*$K$76</f>
        <v>23.522647545314999</v>
      </c>
      <c r="F76" s="49">
        <f>ExitMultiple+(0)*$K$76</f>
        <v>26.522647545314999</v>
      </c>
      <c r="G76" s="49">
        <f>ExitMultiple+(1)*$K$76</f>
        <v>29.522647545314999</v>
      </c>
      <c r="H76" s="52">
        <f>ExitMultiple+(2)*$K$76</f>
        <v>32.522647545314996</v>
      </c>
      <c r="J76" s="45" t="s">
        <v>103</v>
      </c>
      <c r="K76" s="43">
        <v>3</v>
      </c>
    </row>
    <row r="77" spans="2:29" ht="13.15" x14ac:dyDescent="0.4">
      <c r="C77" s="47">
        <f>DiscountRate+(-2)*$K$75</f>
        <v>9.2600000000000002E-2</v>
      </c>
      <c r="D77" s="46">
        <f t="shared" ref="D77:H81" si="14">IF(Shares=0,0,(SUMPRODUCT($N$51:$AC$51/(1+$C77)^$N$52:$AC$52)+$C$58*D$76/(1+$C77)^$AC$52+NetAdj)/Shares*1000)</f>
        <v>3904.215112357108</v>
      </c>
      <c r="E77" s="46">
        <f t="shared" si="14"/>
        <v>4235.6732446239794</v>
      </c>
      <c r="F77" s="46">
        <f t="shared" si="14"/>
        <v>4567.1313768908512</v>
      </c>
      <c r="G77" s="46">
        <f t="shared" si="14"/>
        <v>4898.5895091577213</v>
      </c>
      <c r="H77" s="53">
        <f t="shared" si="14"/>
        <v>5230.0476414245932</v>
      </c>
    </row>
    <row r="78" spans="2:29" ht="13.15" x14ac:dyDescent="0.4">
      <c r="C78" s="47">
        <f>DiscountRate+(-1)*$K$75</f>
        <v>9.7599999999999992E-2</v>
      </c>
      <c r="D78" s="46">
        <f t="shared" si="14"/>
        <v>3685.7800969561881</v>
      </c>
      <c r="E78" s="46">
        <f t="shared" si="14"/>
        <v>3994.5975550167941</v>
      </c>
      <c r="F78" s="46">
        <f t="shared" si="14"/>
        <v>4303.4150130773996</v>
      </c>
      <c r="G78" s="46">
        <f t="shared" si="14"/>
        <v>4612.2324711380052</v>
      </c>
      <c r="H78" s="53">
        <f t="shared" si="14"/>
        <v>4921.0499291986107</v>
      </c>
    </row>
    <row r="79" spans="2:29" ht="13.15" x14ac:dyDescent="0.4">
      <c r="C79" s="47">
        <f>DiscountRate+(0)*$K$75</f>
        <v>0.1026</v>
      </c>
      <c r="D79" s="46">
        <f t="shared" si="14"/>
        <v>3481.8810687501305</v>
      </c>
      <c r="E79" s="46">
        <f t="shared" si="14"/>
        <v>3769.6968904727069</v>
      </c>
      <c r="F79" s="55">
        <f t="shared" si="14"/>
        <v>4057.5127121952833</v>
      </c>
      <c r="G79" s="46">
        <f t="shared" si="14"/>
        <v>4345.3285339178601</v>
      </c>
      <c r="H79" s="53">
        <f t="shared" si="14"/>
        <v>4633.1443556404356</v>
      </c>
      <c r="I79" s="60" t="s">
        <v>108</v>
      </c>
    </row>
    <row r="80" spans="2:29" ht="13.15" x14ac:dyDescent="0.4">
      <c r="C80" s="47">
        <f>DiscountRate+(1)*$K$75</f>
        <v>0.1076</v>
      </c>
      <c r="D80" s="46">
        <f t="shared" si="14"/>
        <v>3291.4578950439409</v>
      </c>
      <c r="E80" s="46">
        <f t="shared" si="14"/>
        <v>3559.7858223176399</v>
      </c>
      <c r="F80" s="46">
        <f t="shared" si="14"/>
        <v>3828.1137495913381</v>
      </c>
      <c r="G80" s="46">
        <f t="shared" si="14"/>
        <v>4096.4416768650362</v>
      </c>
      <c r="H80" s="53">
        <f t="shared" si="14"/>
        <v>4364.7696041387353</v>
      </c>
    </row>
    <row r="81" spans="2:29" ht="13.15" x14ac:dyDescent="0.4">
      <c r="C81" s="50">
        <f>DiscountRate+(2)*$K$75</f>
        <v>0.11259999999999999</v>
      </c>
      <c r="D81" s="51">
        <f t="shared" si="14"/>
        <v>3113.5332196493728</v>
      </c>
      <c r="E81" s="51">
        <f t="shared" si="14"/>
        <v>3363.7717797907108</v>
      </c>
      <c r="F81" s="51">
        <f t="shared" si="14"/>
        <v>3614.0103399320487</v>
      </c>
      <c r="G81" s="51">
        <f t="shared" si="14"/>
        <v>3864.2489000733863</v>
      </c>
      <c r="H81" s="54">
        <f t="shared" si="14"/>
        <v>4114.4874602147247</v>
      </c>
    </row>
    <row r="83" spans="2:29" ht="13.15" x14ac:dyDescent="0.4">
      <c r="B83" s="1" t="s">
        <v>101</v>
      </c>
      <c r="J83" s="45" t="s">
        <v>104</v>
      </c>
      <c r="K83" s="44">
        <v>0.02</v>
      </c>
    </row>
    <row r="84" spans="2:29" ht="13.15" x14ac:dyDescent="0.4">
      <c r="C84" s="48" t="s">
        <v>107</v>
      </c>
      <c r="D84" s="57">
        <f>MarginEnd+(-2)*$K$84</f>
        <v>5.6280000000000004E-2</v>
      </c>
      <c r="E84" s="57">
        <f>MarginEnd+(-1)*$K$84</f>
        <v>6.1280000000000008E-2</v>
      </c>
      <c r="F84" s="57">
        <f>MarginEnd+(0)*$K$84</f>
        <v>6.6280000000000006E-2</v>
      </c>
      <c r="G84" s="57">
        <f>MarginEnd+(1)*$K$84</f>
        <v>7.128000000000001E-2</v>
      </c>
      <c r="H84" s="59">
        <f>MarginEnd+(2)*$K$84</f>
        <v>7.6280000000000001E-2</v>
      </c>
      <c r="J84" s="45" t="s">
        <v>105</v>
      </c>
      <c r="K84" s="16">
        <v>5.0000000000000001E-3</v>
      </c>
    </row>
    <row r="85" spans="2:29" ht="13.15" x14ac:dyDescent="0.4">
      <c r="C85" s="56">
        <f>(-2)*$K$83</f>
        <v>-0.04</v>
      </c>
      <c r="D85" s="46">
        <f t="shared" ref="D85:H89" si="15">IF(Shares=0,0,(MarginStart*SUMPRODUCT($N$50:$AC$50,$N92:$AC92,$N$53:$AC$53)+(D$84-MarginStart)*SUMPRODUCT($N$50:$AC$50,$N92:$AC92,$N$45:$AC$45,$N$53:$AC$53)+$AC92*(MarginStart+(D$84-MarginStart)*$AC$45)*ExitMultiple*$AC$53+NetAdj)/Shares*1000)</f>
        <v>2234.4239473785201</v>
      </c>
      <c r="E85" s="46">
        <f t="shared" si="15"/>
        <v>2385.5298189746804</v>
      </c>
      <c r="F85" s="46">
        <f t="shared" si="15"/>
        <v>2536.6356905708408</v>
      </c>
      <c r="G85" s="46">
        <f t="shared" si="15"/>
        <v>2687.7415621670016</v>
      </c>
      <c r="H85" s="53">
        <f t="shared" si="15"/>
        <v>2838.8474337631619</v>
      </c>
    </row>
    <row r="86" spans="2:29" ht="13.15" x14ac:dyDescent="0.4">
      <c r="C86" s="56">
        <f>(-1)*$K$83</f>
        <v>-0.02</v>
      </c>
      <c r="D86" s="46">
        <f t="shared" si="15"/>
        <v>2809.2705997344565</v>
      </c>
      <c r="E86" s="46">
        <f t="shared" si="15"/>
        <v>3006.6052973264941</v>
      </c>
      <c r="F86" s="46">
        <f t="shared" si="15"/>
        <v>3203.9399949185313</v>
      </c>
      <c r="G86" s="46">
        <f t="shared" si="15"/>
        <v>3401.2746925105685</v>
      </c>
      <c r="H86" s="53">
        <f t="shared" si="15"/>
        <v>3598.6093901026047</v>
      </c>
    </row>
    <row r="87" spans="2:29" ht="13.15" x14ac:dyDescent="0.4">
      <c r="C87" s="56">
        <f>(0)*$K$83</f>
        <v>0</v>
      </c>
      <c r="D87" s="46">
        <f t="shared" si="15"/>
        <v>3543.2524198091178</v>
      </c>
      <c r="E87" s="46">
        <f t="shared" si="15"/>
        <v>3800.3825660022012</v>
      </c>
      <c r="F87" s="55">
        <f t="shared" si="15"/>
        <v>4057.5127121952842</v>
      </c>
      <c r="G87" s="46">
        <f t="shared" si="15"/>
        <v>4314.6428583883671</v>
      </c>
      <c r="H87" s="53">
        <f t="shared" si="15"/>
        <v>4571.7730045814506</v>
      </c>
      <c r="I87" s="60" t="s">
        <v>108</v>
      </c>
    </row>
    <row r="88" spans="2:29" ht="13.15" x14ac:dyDescent="0.4">
      <c r="C88" s="56">
        <f>(1)*$K$83</f>
        <v>0.02</v>
      </c>
      <c r="D88" s="46">
        <f t="shared" si="15"/>
        <v>4479.1317693505998</v>
      </c>
      <c r="E88" s="46">
        <f t="shared" si="15"/>
        <v>4813.3493258466733</v>
      </c>
      <c r="F88" s="46">
        <f t="shared" si="15"/>
        <v>5147.5668823427459</v>
      </c>
      <c r="G88" s="46">
        <f t="shared" si="15"/>
        <v>5481.7844388388176</v>
      </c>
      <c r="H88" s="53">
        <f t="shared" si="15"/>
        <v>5816.0019953348901</v>
      </c>
    </row>
    <row r="89" spans="2:29" ht="13.15" x14ac:dyDescent="0.4">
      <c r="C89" s="58">
        <f>(2)*$K$83</f>
        <v>0.04</v>
      </c>
      <c r="D89" s="51">
        <f t="shared" si="15"/>
        <v>5670.3964695739323</v>
      </c>
      <c r="E89" s="51">
        <f t="shared" si="15"/>
        <v>6103.6618530696578</v>
      </c>
      <c r="F89" s="51">
        <f t="shared" si="15"/>
        <v>6536.9272365653806</v>
      </c>
      <c r="G89" s="51">
        <f t="shared" si="15"/>
        <v>6970.1926200611069</v>
      </c>
      <c r="H89" s="54">
        <f t="shared" si="15"/>
        <v>7403.4580035568297</v>
      </c>
    </row>
    <row r="91" spans="2:29" ht="13.15" x14ac:dyDescent="0.4">
      <c r="B91" s="61" t="s">
        <v>109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2:29" x14ac:dyDescent="0.35">
      <c r="B92" s="66" t="str">
        <f>"Revenue path, growth shift "&amp;TEXT(C85,"+0.0%;-0.0%;0.0%")&amp;" (₹ bn)"</f>
        <v>Revenue path, growth shift -4.0% (₹ bn)</v>
      </c>
      <c r="C92" s="63">
        <f>C85</f>
        <v>-0.04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4">
        <f>$M$41*(1+N$42+$C92)</f>
        <v>991.39491108602476</v>
      </c>
      <c r="O92" s="64">
        <f t="shared" ref="O92:AC92" si="16">N92*(1+O$42+$C92)</f>
        <v>1126.3160211159475</v>
      </c>
      <c r="P92" s="64">
        <f t="shared" si="16"/>
        <v>1273.1670808472888</v>
      </c>
      <c r="Q92" s="64">
        <f t="shared" si="16"/>
        <v>1437.0022947135756</v>
      </c>
      <c r="R92" s="64">
        <f t="shared" si="16"/>
        <v>1615.1246315141507</v>
      </c>
      <c r="S92" s="64">
        <f t="shared" si="16"/>
        <v>1803.683463021076</v>
      </c>
      <c r="T92" s="64">
        <f t="shared" si="16"/>
        <v>1997.7758471479401</v>
      </c>
      <c r="U92" s="64">
        <f t="shared" si="16"/>
        <v>2191.7492919663073</v>
      </c>
      <c r="V92" s="64">
        <f t="shared" si="16"/>
        <v>2379.7006924341131</v>
      </c>
      <c r="W92" s="64">
        <f t="shared" si="16"/>
        <v>2556.1267993927827</v>
      </c>
      <c r="X92" s="64">
        <f t="shared" si="16"/>
        <v>2716.6446630628698</v>
      </c>
      <c r="Y92" s="64">
        <f t="shared" si="16"/>
        <v>2858.6792816189809</v>
      </c>
      <c r="Z92" s="64">
        <f t="shared" si="16"/>
        <v>2982.0207583161223</v>
      </c>
      <c r="AA92" s="64">
        <f t="shared" si="16"/>
        <v>3089.1883000021789</v>
      </c>
      <c r="AB92" s="64">
        <f t="shared" si="16"/>
        <v>3185.5981603817245</v>
      </c>
      <c r="AC92" s="64">
        <f t="shared" si="16"/>
        <v>3279.6051620945891</v>
      </c>
    </row>
    <row r="93" spans="2:29" x14ac:dyDescent="0.35">
      <c r="B93" s="66" t="str">
        <f>"Revenue path, growth shift "&amp;TEXT(C86,"+0.0%;-0.0%;0.0%")&amp;" (₹ bn)"</f>
        <v>Revenue path, growth shift -2.0% (₹ bn)</v>
      </c>
      <c r="C93" s="63">
        <f>C86</f>
        <v>-0.02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4">
        <f>$M$41*(1+N$42+$C93)</f>
        <v>1008.9117110860249</v>
      </c>
      <c r="O93" s="64">
        <f t="shared" ref="O93:AC93" si="17">N93*(1+O$42+$C93)</f>
        <v>1166.3949551073201</v>
      </c>
      <c r="P93" s="64">
        <f t="shared" si="17"/>
        <v>1341.7994757007341</v>
      </c>
      <c r="Q93" s="64">
        <f t="shared" si="17"/>
        <v>1541.3025152619446</v>
      </c>
      <c r="R93" s="64">
        <f t="shared" si="17"/>
        <v>1763.1793431094582</v>
      </c>
      <c r="S93" s="64">
        <f t="shared" si="17"/>
        <v>2004.2865102049507</v>
      </c>
      <c r="T93" s="64">
        <f t="shared" si="17"/>
        <v>2260.0512967482414</v>
      </c>
      <c r="U93" s="64">
        <f t="shared" si="17"/>
        <v>2524.6913233710598</v>
      </c>
      <c r="V93" s="64">
        <f t="shared" si="17"/>
        <v>2791.6876812711698</v>
      </c>
      <c r="W93" s="64">
        <f t="shared" si="17"/>
        <v>3054.4914084806915</v>
      </c>
      <c r="X93" s="64">
        <f t="shared" si="17"/>
        <v>3307.3950526176623</v>
      </c>
      <c r="Y93" s="64">
        <f t="shared" si="17"/>
        <v>3546.463836956711</v>
      </c>
      <c r="Z93" s="64">
        <f t="shared" si="17"/>
        <v>3770.4099594525055</v>
      </c>
      <c r="AA93" s="64">
        <f t="shared" si="17"/>
        <v>3981.3187467499083</v>
      </c>
      <c r="AB93" s="64">
        <f t="shared" si="17"/>
        <v>4185.1973029133396</v>
      </c>
      <c r="AC93" s="64">
        <f t="shared" si="17"/>
        <v>4392.4064213805786</v>
      </c>
    </row>
    <row r="94" spans="2:29" x14ac:dyDescent="0.35">
      <c r="B94" s="66" t="str">
        <f>"Revenue path, growth shift "&amp;TEXT(C87,"+0.0%;-0.0%;0.0%")&amp;" (₹ bn)"</f>
        <v>Revenue path, growth shift 0.0% (₹ bn)</v>
      </c>
      <c r="C94" s="63">
        <f>C87</f>
        <v>0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4">
        <f>$M$41*(1+N$42+$C94)</f>
        <v>1026.4285110860249</v>
      </c>
      <c r="O94" s="64">
        <f t="shared" ref="O94:AC94" si="18">N94*(1+O$42+$C94)</f>
        <v>1207.1745610986927</v>
      </c>
      <c r="P94" s="64">
        <f t="shared" si="18"/>
        <v>1412.8550816390061</v>
      </c>
      <c r="Q94" s="64">
        <f t="shared" si="18"/>
        <v>1651.1799976889013</v>
      </c>
      <c r="R94" s="64">
        <f t="shared" si="18"/>
        <v>1921.8977403984352</v>
      </c>
      <c r="S94" s="64">
        <f t="shared" si="18"/>
        <v>2223.1469182652531</v>
      </c>
      <c r="T94" s="64">
        <f t="shared" si="18"/>
        <v>2551.3031779742937</v>
      </c>
      <c r="U94" s="64">
        <f t="shared" si="18"/>
        <v>2901.0733195613188</v>
      </c>
      <c r="V94" s="64">
        <f t="shared" si="18"/>
        <v>3265.8950680915164</v>
      </c>
      <c r="W94" s="64">
        <f t="shared" si="18"/>
        <v>3638.6576031520667</v>
      </c>
      <c r="X94" s="64">
        <f t="shared" si="18"/>
        <v>4012.7017835273391</v>
      </c>
      <c r="Y94" s="64">
        <f t="shared" si="18"/>
        <v>4383.0063641256111</v>
      </c>
      <c r="Z94" s="64">
        <f t="shared" si="18"/>
        <v>4747.4371918144789</v>
      </c>
      <c r="AA94" s="64">
        <f t="shared" si="18"/>
        <v>5107.9475673205443</v>
      </c>
      <c r="AB94" s="64">
        <f t="shared" si="18"/>
        <v>5471.678384982346</v>
      </c>
      <c r="AC94" s="64">
        <f t="shared" si="18"/>
        <v>5852.0147495224683</v>
      </c>
    </row>
    <row r="95" spans="2:29" x14ac:dyDescent="0.35">
      <c r="B95" s="66" t="str">
        <f>"Revenue path, growth shift "&amp;TEXT(C88,"+0.0%;-0.0%;0.0%")&amp;" (₹ bn)"</f>
        <v>Revenue path, growth shift +2.0% (₹ bn)</v>
      </c>
      <c r="C95" s="63">
        <f>C88</f>
        <v>0.02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4">
        <f>$M$41*(1+N$42+$C95)</f>
        <v>1043.945311086025</v>
      </c>
      <c r="O95" s="64">
        <f t="shared" ref="O95:AC95" si="19">N95*(1+O$42+$C95)</f>
        <v>1248.6548390900655</v>
      </c>
      <c r="P95" s="64">
        <f t="shared" si="19"/>
        <v>1486.3759389821057</v>
      </c>
      <c r="Q95" s="64">
        <f t="shared" si="19"/>
        <v>1766.8301072816348</v>
      </c>
      <c r="R95" s="64">
        <f t="shared" si="19"/>
        <v>2091.8457626280119</v>
      </c>
      <c r="S95" s="64">
        <f t="shared" si="19"/>
        <v>2461.5704749104148</v>
      </c>
      <c r="T95" s="64">
        <f t="shared" si="19"/>
        <v>2874.1515818218413</v>
      </c>
      <c r="U95" s="64">
        <f t="shared" si="19"/>
        <v>3325.6655598370576</v>
      </c>
      <c r="V95" s="64">
        <f t="shared" si="19"/>
        <v>3810.3948176579529</v>
      </c>
      <c r="W95" s="64">
        <f t="shared" si="19"/>
        <v>4321.5133287730805</v>
      </c>
      <c r="X95" s="64">
        <f t="shared" si="19"/>
        <v>4852.18350119774</v>
      </c>
      <c r="Y95" s="64">
        <f t="shared" si="19"/>
        <v>5397.0017314376873</v>
      </c>
      <c r="Z95" s="64">
        <f t="shared" si="19"/>
        <v>5953.6825719489952</v>
      </c>
      <c r="AA95" s="64">
        <f t="shared" si="19"/>
        <v>6524.8663309967724</v>
      </c>
      <c r="AB95" s="64">
        <f t="shared" si="19"/>
        <v>7119.9915603953505</v>
      </c>
      <c r="AC95" s="64">
        <f t="shared" si="19"/>
        <v>7757.3020049663382</v>
      </c>
    </row>
    <row r="96" spans="2:29" x14ac:dyDescent="0.35">
      <c r="B96" s="66" t="str">
        <f>"Revenue path, growth shift "&amp;TEXT(C89,"+0.0%;-0.0%;0.0%")&amp;" (₹ bn)"</f>
        <v>Revenue path, growth shift +4.0% (₹ bn)</v>
      </c>
      <c r="C96" s="63">
        <f>C89</f>
        <v>0.04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4">
        <f>$M$41*(1+N$42+$C96)</f>
        <v>1061.4621110860248</v>
      </c>
      <c r="O96" s="64">
        <f t="shared" ref="O96:AC96" si="20">N96*(1+O$42+$C96)</f>
        <v>1290.8357890814377</v>
      </c>
      <c r="P96" s="64">
        <f t="shared" si="20"/>
        <v>1562.404088050032</v>
      </c>
      <c r="Q96" s="64">
        <f t="shared" si="20"/>
        <v>1888.4515725529329</v>
      </c>
      <c r="R96" s="64">
        <f t="shared" si="20"/>
        <v>2273.6090274373664</v>
      </c>
      <c r="S96" s="64">
        <f t="shared" si="20"/>
        <v>2720.931793019633</v>
      </c>
      <c r="T96" s="64">
        <f t="shared" si="20"/>
        <v>3231.4027996882955</v>
      </c>
      <c r="U96" s="64">
        <f t="shared" si="20"/>
        <v>3803.6671062836863</v>
      </c>
      <c r="V96" s="64">
        <f t="shared" si="20"/>
        <v>4434.1403723502926</v>
      </c>
      <c r="W96" s="64">
        <f t="shared" si="20"/>
        <v>5117.6096346519107</v>
      </c>
      <c r="X96" s="64">
        <f t="shared" si="20"/>
        <v>5848.3904773599797</v>
      </c>
      <c r="Y96" s="64">
        <f t="shared" si="20"/>
        <v>6622.0337297961178</v>
      </c>
      <c r="Z96" s="64">
        <f t="shared" si="20"/>
        <v>7437.5127812604387</v>
      </c>
      <c r="AA96" s="64">
        <f t="shared" si="20"/>
        <v>8299.8023391624793</v>
      </c>
      <c r="AB96" s="64">
        <f t="shared" si="20"/>
        <v>9222.8133990490478</v>
      </c>
      <c r="AC96" s="64">
        <f t="shared" si="20"/>
        <v>10232.803694378908</v>
      </c>
    </row>
    <row r="97" spans="2:29" x14ac:dyDescent="0.35">
      <c r="B97" s="66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2:29" x14ac:dyDescent="0.35">
      <c r="B98" s="66" t="s">
        <v>110</v>
      </c>
      <c r="C98" s="62"/>
      <c r="D98" s="65">
        <f t="shared" ref="D98:AC98" si="21">IF(D$39="Forecast",1,0)</f>
        <v>0</v>
      </c>
      <c r="E98" s="65">
        <f t="shared" si="21"/>
        <v>0</v>
      </c>
      <c r="F98" s="65">
        <f t="shared" si="21"/>
        <v>0</v>
      </c>
      <c r="G98" s="65">
        <f t="shared" si="21"/>
        <v>0</v>
      </c>
      <c r="H98" s="65">
        <f t="shared" si="21"/>
        <v>0</v>
      </c>
      <c r="I98" s="65">
        <f t="shared" si="21"/>
        <v>0</v>
      </c>
      <c r="J98" s="65">
        <f t="shared" si="21"/>
        <v>0</v>
      </c>
      <c r="K98" s="65">
        <f t="shared" si="21"/>
        <v>0</v>
      </c>
      <c r="L98" s="65">
        <f t="shared" si="21"/>
        <v>0</v>
      </c>
      <c r="M98" s="65">
        <f t="shared" si="21"/>
        <v>0</v>
      </c>
      <c r="N98" s="65">
        <f t="shared" si="21"/>
        <v>1</v>
      </c>
      <c r="O98" s="65">
        <f t="shared" si="21"/>
        <v>1</v>
      </c>
      <c r="P98" s="65">
        <f t="shared" si="21"/>
        <v>1</v>
      </c>
      <c r="Q98" s="65">
        <f t="shared" si="21"/>
        <v>1</v>
      </c>
      <c r="R98" s="65">
        <f t="shared" si="21"/>
        <v>1</v>
      </c>
      <c r="S98" s="65">
        <f t="shared" si="21"/>
        <v>1</v>
      </c>
      <c r="T98" s="65">
        <f t="shared" si="21"/>
        <v>1</v>
      </c>
      <c r="U98" s="65">
        <f t="shared" si="21"/>
        <v>1</v>
      </c>
      <c r="V98" s="65">
        <f t="shared" si="21"/>
        <v>1</v>
      </c>
      <c r="W98" s="65">
        <f t="shared" si="21"/>
        <v>1</v>
      </c>
      <c r="X98" s="65">
        <f t="shared" si="21"/>
        <v>1</v>
      </c>
      <c r="Y98" s="65">
        <f t="shared" si="21"/>
        <v>1</v>
      </c>
      <c r="Z98" s="65">
        <f t="shared" si="21"/>
        <v>1</v>
      </c>
      <c r="AA98" s="65">
        <f t="shared" si="21"/>
        <v>1</v>
      </c>
      <c r="AB98" s="65">
        <f t="shared" si="21"/>
        <v>1</v>
      </c>
      <c r="AC98" s="65">
        <f t="shared" si="21"/>
        <v>1</v>
      </c>
    </row>
    <row r="99" spans="2:29" x14ac:dyDescent="0.35">
      <c r="B99" s="66" t="s">
        <v>111</v>
      </c>
      <c r="C99" s="62"/>
      <c r="D99" s="65" t="e">
        <f t="shared" ref="D99:AC99" si="22">IF(D$38=$M$38,$M$41,IF(D$38=$AC$38,$AC$41,IF(D$38=$U$38,($M$41+$AC$41)/2,NA())))</f>
        <v>#N/A</v>
      </c>
      <c r="E99" s="65" t="e">
        <f t="shared" si="22"/>
        <v>#N/A</v>
      </c>
      <c r="F99" s="65" t="e">
        <f t="shared" si="22"/>
        <v>#N/A</v>
      </c>
      <c r="G99" s="65" t="e">
        <f t="shared" si="22"/>
        <v>#N/A</v>
      </c>
      <c r="H99" s="65" t="e">
        <f t="shared" si="22"/>
        <v>#N/A</v>
      </c>
      <c r="I99" s="65" t="e">
        <f t="shared" si="22"/>
        <v>#N/A</v>
      </c>
      <c r="J99" s="65" t="e">
        <f t="shared" si="22"/>
        <v>#N/A</v>
      </c>
      <c r="K99" s="65" t="e">
        <f t="shared" si="22"/>
        <v>#N/A</v>
      </c>
      <c r="L99" s="65" t="e">
        <f t="shared" si="22"/>
        <v>#N/A</v>
      </c>
      <c r="M99" s="65">
        <f t="shared" si="22"/>
        <v>875.84</v>
      </c>
      <c r="N99" s="65" t="e">
        <f t="shared" si="22"/>
        <v>#N/A</v>
      </c>
      <c r="O99" s="65" t="e">
        <f t="shared" si="22"/>
        <v>#N/A</v>
      </c>
      <c r="P99" s="65" t="e">
        <f t="shared" si="22"/>
        <v>#N/A</v>
      </c>
      <c r="Q99" s="65" t="e">
        <f t="shared" si="22"/>
        <v>#N/A</v>
      </c>
      <c r="R99" s="65" t="e">
        <f t="shared" si="22"/>
        <v>#N/A</v>
      </c>
      <c r="S99" s="65" t="e">
        <f t="shared" si="22"/>
        <v>#N/A</v>
      </c>
      <c r="T99" s="65" t="e">
        <f t="shared" si="22"/>
        <v>#N/A</v>
      </c>
      <c r="U99" s="65">
        <f t="shared" si="22"/>
        <v>3363.9273747612342</v>
      </c>
      <c r="V99" s="65" t="e">
        <f t="shared" si="22"/>
        <v>#N/A</v>
      </c>
      <c r="W99" s="65" t="e">
        <f t="shared" si="22"/>
        <v>#N/A</v>
      </c>
      <c r="X99" s="65" t="e">
        <f t="shared" si="22"/>
        <v>#N/A</v>
      </c>
      <c r="Y99" s="65" t="e">
        <f t="shared" si="22"/>
        <v>#N/A</v>
      </c>
      <c r="Z99" s="65" t="e">
        <f t="shared" si="22"/>
        <v>#N/A</v>
      </c>
      <c r="AA99" s="65" t="e">
        <f t="shared" si="22"/>
        <v>#N/A</v>
      </c>
      <c r="AB99" s="65" t="e">
        <f t="shared" si="22"/>
        <v>#N/A</v>
      </c>
      <c r="AC99" s="65">
        <f t="shared" si="22"/>
        <v>5852.0147495224683</v>
      </c>
    </row>
    <row r="100" spans="2:29" x14ac:dyDescent="0.35">
      <c r="B100" s="66" t="s">
        <v>112</v>
      </c>
      <c r="C100" s="62"/>
      <c r="D100" s="65" t="e">
        <f t="shared" ref="D100:AC100" si="23">IF(D$38=$M$38,$M$46,IF(D$38=$AC$38,$AC$46,IF(D$38=$U$38,($M$46+$AC$46)/2,NA())))</f>
        <v>#N/A</v>
      </c>
      <c r="E100" s="65" t="e">
        <f t="shared" si="23"/>
        <v>#N/A</v>
      </c>
      <c r="F100" s="65" t="e">
        <f t="shared" si="23"/>
        <v>#N/A</v>
      </c>
      <c r="G100" s="65" t="e">
        <f t="shared" si="23"/>
        <v>#N/A</v>
      </c>
      <c r="H100" s="65" t="e">
        <f t="shared" si="23"/>
        <v>#N/A</v>
      </c>
      <c r="I100" s="65" t="e">
        <f t="shared" si="23"/>
        <v>#N/A</v>
      </c>
      <c r="J100" s="65" t="e">
        <f t="shared" si="23"/>
        <v>#N/A</v>
      </c>
      <c r="K100" s="65" t="e">
        <f t="shared" si="23"/>
        <v>#N/A</v>
      </c>
      <c r="L100" s="65" t="e">
        <f t="shared" si="23"/>
        <v>#N/A</v>
      </c>
      <c r="M100" s="65">
        <f t="shared" si="23"/>
        <v>50.73</v>
      </c>
      <c r="N100" s="65" t="e">
        <f t="shared" si="23"/>
        <v>#N/A</v>
      </c>
      <c r="O100" s="65" t="e">
        <f t="shared" si="23"/>
        <v>#N/A</v>
      </c>
      <c r="P100" s="65" t="e">
        <f t="shared" si="23"/>
        <v>#N/A</v>
      </c>
      <c r="Q100" s="65" t="e">
        <f t="shared" si="23"/>
        <v>#N/A</v>
      </c>
      <c r="R100" s="65" t="e">
        <f t="shared" si="23"/>
        <v>#N/A</v>
      </c>
      <c r="S100" s="65" t="e">
        <f t="shared" si="23"/>
        <v>#N/A</v>
      </c>
      <c r="T100" s="65" t="e">
        <f t="shared" si="23"/>
        <v>#N/A</v>
      </c>
      <c r="U100" s="65">
        <f t="shared" si="23"/>
        <v>219.30076879917462</v>
      </c>
      <c r="V100" s="65" t="e">
        <f t="shared" si="23"/>
        <v>#N/A</v>
      </c>
      <c r="W100" s="65" t="e">
        <f t="shared" si="23"/>
        <v>#N/A</v>
      </c>
      <c r="X100" s="65" t="e">
        <f t="shared" si="23"/>
        <v>#N/A</v>
      </c>
      <c r="Y100" s="65" t="e">
        <f t="shared" si="23"/>
        <v>#N/A</v>
      </c>
      <c r="Z100" s="65" t="e">
        <f t="shared" si="23"/>
        <v>#N/A</v>
      </c>
      <c r="AA100" s="65" t="e">
        <f t="shared" si="23"/>
        <v>#N/A</v>
      </c>
      <c r="AB100" s="65" t="e">
        <f t="shared" si="23"/>
        <v>#N/A</v>
      </c>
      <c r="AC100" s="65">
        <f t="shared" si="23"/>
        <v>387.87153759834922</v>
      </c>
    </row>
    <row r="101" spans="2:29" x14ac:dyDescent="0.35">
      <c r="B101" s="66" t="s">
        <v>113</v>
      </c>
      <c r="C101" s="62" t="str">
        <f>TEXT(C6,"0.0%")&amp;" CAGR"</f>
        <v>12.6% CAGR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</row>
    <row r="102" spans="2:29" x14ac:dyDescent="0.35">
      <c r="B102" s="66" t="s">
        <v>114</v>
      </c>
      <c r="C102" s="62" t="str">
        <f>TEXT((AC46/M46)^(1/AC40)-1,"0.0%")&amp;" CAGR"</f>
        <v>13.6% CAGR</v>
      </c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</row>
    <row r="103" spans="2:29" x14ac:dyDescent="0.35">
      <c r="B103" s="66" t="s">
        <v>115</v>
      </c>
      <c r="C103" s="62" t="str">
        <f>AC38&amp;" · FORECAST"</f>
        <v>2042 · FORECAST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</row>
    <row r="104" spans="2:29" x14ac:dyDescent="0.35">
      <c r="B104" s="66" t="s">
        <v>116</v>
      </c>
      <c r="C104" s="62" t="str">
        <f>"Revenue  "&amp;TEXT(AC41/1000,"0.0")&amp;"T"</f>
        <v>Revenue  5.9T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</row>
    <row r="105" spans="2:29" x14ac:dyDescent="0.35">
      <c r="B105" s="66" t="s">
        <v>117</v>
      </c>
      <c r="C105" s="62" t="str">
        <f>"Net Income  "&amp;TEXT(AC46,"0.0")&amp;"B"</f>
        <v>Net Income  387.9B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</row>
  </sheetData>
  <conditionalFormatting sqref="B16:C18">
    <cfRule type="expression" dxfId="2" priority="2" stopIfTrue="1">
      <formula>ValuePerShare&gt;=Price</formula>
    </cfRule>
  </conditionalFormatting>
  <conditionalFormatting sqref="C17">
    <cfRule type="expression" dxfId="1" priority="1" stopIfTrue="1">
      <formula>ValuePerShare&gt;=Price</formula>
    </cfRule>
  </conditionalFormatting>
  <conditionalFormatting sqref="C69">
    <cfRule type="expression" dxfId="0" priority="3" stopIfTrue="1">
      <formula>ValuePerShare&gt;=Price</formula>
    </cfRule>
  </conditionalFormatting>
  <dataValidations count="3">
    <dataValidation type="list" allowBlank="1" showInputMessage="1" showErrorMessage="1" sqref="C27" xr:uid="{957EE5A0-2B50-4D64-A5EA-EF2945D87C21}">
      <formula1>"Base case (per year),Constant CAGR"</formula1>
    </dataValidation>
    <dataValidation type="decimal" operator="greaterThan" allowBlank="1" showInputMessage="1" showErrorMessage="1" sqref="C26" xr:uid="{82EA2BA3-B59F-4DA8-A288-446FB15A458B}">
      <formula1>0</formula1>
    </dataValidation>
    <dataValidation type="date" allowBlank="1" showInputMessage="1" showErrorMessage="1" errorTitle="Date outside FY2027" error="Enter the price date as a date within FY2027 (31-Mar-2026 to 30-Mar-2027). For a later date, roll the forecast forward a year first." sqref="C34" xr:uid="{7541A97E-4584-4037-9D54-425CC18DD850}">
      <formula1>DATE(2026,3,31)</formula1>
      <formula2>DATE(2027,3,30)</formula2>
    </dataValidation>
  </dataValidations>
  <pageMargins left="0.7" right="0.7" top="0.75" bottom="0.75" header="0.3" footer="0.3"/>
  <pageSetup scale="38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175B-854D-49D9-B8A1-97A477830138}">
  <sheetPr>
    <pageSetUpPr fitToPage="1"/>
  </sheetPr>
  <dimension ref="B2:G39"/>
  <sheetViews>
    <sheetView showGridLines="0" workbookViewId="0"/>
  </sheetViews>
  <sheetFormatPr defaultRowHeight="12.75" x14ac:dyDescent="0.35"/>
  <cols>
    <col min="1" max="1" width="2.59765625" customWidth="1"/>
    <col min="2" max="2" width="30.59765625" customWidth="1"/>
    <col min="3" max="7" width="14.59765625" customWidth="1"/>
    <col min="8" max="8" width="4.59765625" customWidth="1"/>
  </cols>
  <sheetData>
    <row r="2" spans="2:7" ht="17.649999999999999" x14ac:dyDescent="0.5">
      <c r="B2" s="2" t="s">
        <v>0</v>
      </c>
    </row>
    <row r="3" spans="2:7" x14ac:dyDescent="0.35">
      <c r="B3" s="3" t="s">
        <v>1</v>
      </c>
    </row>
    <row r="5" spans="2:7" ht="13.15" x14ac:dyDescent="0.4">
      <c r="B5" s="4" t="s">
        <v>2</v>
      </c>
      <c r="C5" s="4"/>
      <c r="D5" s="4"/>
      <c r="E5" s="4"/>
      <c r="F5" s="4"/>
      <c r="G5" s="4"/>
    </row>
    <row r="6" spans="2:7" ht="13.15" x14ac:dyDescent="0.4">
      <c r="B6" s="5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</row>
    <row r="7" spans="2:7" x14ac:dyDescent="0.35">
      <c r="B7" s="9" t="s">
        <v>9</v>
      </c>
      <c r="C7" s="7">
        <v>13382.1</v>
      </c>
      <c r="D7" s="7">
        <v>711.5</v>
      </c>
      <c r="E7" s="8">
        <f t="shared" ref="E7:E16" si="0">IF(C7=0,0,D7/C7)</f>
        <v>5.3168037901375718E-2</v>
      </c>
      <c r="F7" s="8"/>
      <c r="G7" s="8"/>
    </row>
    <row r="8" spans="2:7" x14ac:dyDescent="0.35">
      <c r="B8" s="9" t="s">
        <v>10</v>
      </c>
      <c r="C8" s="7">
        <v>16156</v>
      </c>
      <c r="D8" s="7">
        <v>1130.0999999999999</v>
      </c>
      <c r="E8" s="8">
        <f t="shared" si="0"/>
        <v>6.9949244862589743E-2</v>
      </c>
      <c r="F8" s="8">
        <f t="shared" ref="F8:F16" si="1">IF(C7=0,0,C8/C7-1)</f>
        <v>0.20728435746258067</v>
      </c>
      <c r="G8" s="8">
        <f t="shared" ref="G8:G16" si="2">IF(D7=0,0,D8/D7-1)</f>
        <v>0.58833450456781433</v>
      </c>
    </row>
    <row r="9" spans="2:7" x14ac:dyDescent="0.35">
      <c r="B9" s="9" t="s">
        <v>11</v>
      </c>
      <c r="C9" s="7">
        <v>19778.5</v>
      </c>
      <c r="D9" s="7">
        <v>1404.2</v>
      </c>
      <c r="E9" s="8">
        <f t="shared" si="0"/>
        <v>7.0996283843567515E-2</v>
      </c>
      <c r="F9" s="8">
        <f t="shared" si="1"/>
        <v>0.22422010398613512</v>
      </c>
      <c r="G9" s="8">
        <f t="shared" si="2"/>
        <v>0.24254490753030722</v>
      </c>
    </row>
    <row r="10" spans="2:7" x14ac:dyDescent="0.35">
      <c r="B10" s="9" t="s">
        <v>12</v>
      </c>
      <c r="C10" s="7">
        <v>21051.5</v>
      </c>
      <c r="D10" s="7">
        <v>1501.4</v>
      </c>
      <c r="E10" s="8">
        <f t="shared" si="0"/>
        <v>7.1320333467923908E-2</v>
      </c>
      <c r="F10" s="8">
        <f t="shared" si="1"/>
        <v>6.4362818211694428E-2</v>
      </c>
      <c r="G10" s="8">
        <f t="shared" si="2"/>
        <v>6.9220908702464001E-2</v>
      </c>
    </row>
    <row r="11" spans="2:7" x14ac:dyDescent="0.35">
      <c r="B11" s="9" t="s">
        <v>13</v>
      </c>
      <c r="C11" s="7">
        <v>21644</v>
      </c>
      <c r="D11" s="7">
        <v>973</v>
      </c>
      <c r="E11" s="8">
        <f t="shared" si="0"/>
        <v>4.495472186287193E-2</v>
      </c>
      <c r="F11" s="8">
        <f t="shared" si="1"/>
        <v>2.8145262807875993E-2</v>
      </c>
      <c r="G11" s="8">
        <f t="shared" si="2"/>
        <v>-0.35193819102171309</v>
      </c>
    </row>
    <row r="12" spans="2:7" x14ac:dyDescent="0.35">
      <c r="B12" s="9" t="s">
        <v>14</v>
      </c>
      <c r="C12" s="7">
        <v>28799</v>
      </c>
      <c r="D12" s="7">
        <v>2173</v>
      </c>
      <c r="E12" s="8">
        <f t="shared" si="0"/>
        <v>7.5454008819750687E-2</v>
      </c>
      <c r="F12" s="8">
        <f t="shared" si="1"/>
        <v>0.33057660321567184</v>
      </c>
      <c r="G12" s="8">
        <f t="shared" si="2"/>
        <v>1.2332990750256938</v>
      </c>
    </row>
    <row r="13" spans="2:7" x14ac:dyDescent="0.35">
      <c r="B13" s="9" t="s">
        <v>15</v>
      </c>
      <c r="C13" s="7">
        <v>40575</v>
      </c>
      <c r="D13" s="7">
        <v>3250</v>
      </c>
      <c r="E13" s="8">
        <f t="shared" si="0"/>
        <v>8.0098582871226121E-2</v>
      </c>
      <c r="F13" s="8">
        <f t="shared" si="1"/>
        <v>0.40890308691274013</v>
      </c>
      <c r="G13" s="8">
        <f t="shared" si="2"/>
        <v>0.49562816382880803</v>
      </c>
    </row>
    <row r="14" spans="2:7" x14ac:dyDescent="0.35">
      <c r="B14" s="9" t="s">
        <v>16</v>
      </c>
      <c r="C14" s="7">
        <v>51084</v>
      </c>
      <c r="D14" s="7">
        <v>3496</v>
      </c>
      <c r="E14" s="8">
        <f t="shared" si="0"/>
        <v>6.8436300994440535E-2</v>
      </c>
      <c r="F14" s="8">
        <f t="shared" si="1"/>
        <v>0.25900184842883545</v>
      </c>
      <c r="G14" s="8">
        <f t="shared" si="2"/>
        <v>7.5692307692307725E-2</v>
      </c>
    </row>
    <row r="15" spans="2:7" x14ac:dyDescent="0.35">
      <c r="B15" s="9" t="s">
        <v>17</v>
      </c>
      <c r="C15" s="7">
        <v>60456</v>
      </c>
      <c r="D15" s="7">
        <v>3337</v>
      </c>
      <c r="E15" s="8">
        <f t="shared" si="0"/>
        <v>5.5197168188434564E-2</v>
      </c>
      <c r="F15" s="8">
        <f t="shared" si="1"/>
        <v>0.18346253229974163</v>
      </c>
      <c r="G15" s="8">
        <f t="shared" si="2"/>
        <v>-4.5480549199084619E-2</v>
      </c>
    </row>
    <row r="16" spans="2:7" x14ac:dyDescent="0.35">
      <c r="B16" s="9" t="s">
        <v>18</v>
      </c>
      <c r="C16" s="7">
        <v>87584</v>
      </c>
      <c r="D16" s="7">
        <v>5073</v>
      </c>
      <c r="E16" s="8">
        <f t="shared" si="0"/>
        <v>5.792153818048959E-2</v>
      </c>
      <c r="F16" s="8">
        <f t="shared" si="1"/>
        <v>0.448723038242689</v>
      </c>
      <c r="G16" s="8">
        <f t="shared" si="2"/>
        <v>0.52022774947557693</v>
      </c>
    </row>
    <row r="17" spans="2:7" ht="36" customHeight="1" x14ac:dyDescent="0.35">
      <c r="B17" s="119" t="s">
        <v>19</v>
      </c>
      <c r="C17" s="119"/>
      <c r="D17" s="119"/>
      <c r="E17" s="119"/>
      <c r="F17" s="119"/>
      <c r="G17" s="119"/>
    </row>
    <row r="19" spans="2:7" ht="13.15" x14ac:dyDescent="0.4">
      <c r="B19" s="4" t="s">
        <v>20</v>
      </c>
      <c r="C19" s="4"/>
      <c r="D19" s="4"/>
      <c r="E19" s="4"/>
      <c r="F19" s="4"/>
      <c r="G19" s="4"/>
    </row>
    <row r="20" spans="2:7" ht="13.15" x14ac:dyDescent="0.4">
      <c r="B20" s="11" t="s">
        <v>21</v>
      </c>
      <c r="C20" s="12" t="s">
        <v>4</v>
      </c>
      <c r="D20" s="12" t="s">
        <v>5</v>
      </c>
      <c r="E20" s="12" t="s">
        <v>6</v>
      </c>
    </row>
    <row r="21" spans="2:7" x14ac:dyDescent="0.35">
      <c r="B21" t="s">
        <v>22</v>
      </c>
      <c r="C21" s="13">
        <v>21356</v>
      </c>
      <c r="D21" s="13">
        <v>1777</v>
      </c>
      <c r="E21" s="14">
        <f>IF(C21=0,0,D21/C21)</f>
        <v>8.3208466004869822E-2</v>
      </c>
    </row>
    <row r="22" spans="2:7" x14ac:dyDescent="0.35">
      <c r="B22" t="s">
        <v>23</v>
      </c>
      <c r="C22" s="13">
        <v>16523</v>
      </c>
      <c r="D22" s="13">
        <v>1091</v>
      </c>
      <c r="E22" s="14">
        <f>IF(C22=0,0,D22/C22)</f>
        <v>6.6029171457967675E-2</v>
      </c>
    </row>
    <row r="23" spans="2:7" ht="24" customHeight="1" x14ac:dyDescent="0.35">
      <c r="B23" s="119" t="s">
        <v>141</v>
      </c>
      <c r="C23" s="119"/>
      <c r="D23" s="119"/>
      <c r="E23" s="119"/>
      <c r="F23" s="119"/>
      <c r="G23" s="119"/>
    </row>
    <row r="25" spans="2:7" ht="13.15" x14ac:dyDescent="0.4">
      <c r="B25" s="4" t="s">
        <v>24</v>
      </c>
      <c r="C25" s="4"/>
      <c r="D25" s="4"/>
      <c r="E25" s="4"/>
      <c r="F25" s="4"/>
      <c r="G25" s="4"/>
    </row>
    <row r="26" spans="2:7" ht="27" customHeight="1" x14ac:dyDescent="0.35">
      <c r="B26" s="118" t="s">
        <v>142</v>
      </c>
      <c r="C26" s="118"/>
      <c r="D26" s="118"/>
      <c r="E26" s="118"/>
      <c r="F26" s="118"/>
      <c r="G26" s="118"/>
    </row>
    <row r="27" spans="2:7" ht="27" customHeight="1" x14ac:dyDescent="0.35">
      <c r="B27" s="118" t="s">
        <v>131</v>
      </c>
      <c r="C27" s="118"/>
      <c r="D27" s="118"/>
      <c r="E27" s="118"/>
      <c r="F27" s="118"/>
      <c r="G27" s="118"/>
    </row>
    <row r="28" spans="2:7" ht="27" customHeight="1" x14ac:dyDescent="0.35">
      <c r="B28" s="118" t="s">
        <v>25</v>
      </c>
      <c r="C28" s="118"/>
      <c r="D28" s="118"/>
      <c r="E28" s="118"/>
      <c r="F28" s="118"/>
      <c r="G28" s="118"/>
    </row>
    <row r="29" spans="2:7" ht="27" customHeight="1" x14ac:dyDescent="0.35">
      <c r="B29" s="118" t="s">
        <v>143</v>
      </c>
      <c r="C29" s="118"/>
      <c r="D29" s="118"/>
      <c r="E29" s="118"/>
      <c r="F29" s="118"/>
      <c r="G29" s="118"/>
    </row>
    <row r="30" spans="2:7" ht="27" customHeight="1" x14ac:dyDescent="0.35">
      <c r="B30" s="118" t="s">
        <v>26</v>
      </c>
      <c r="C30" s="118"/>
      <c r="D30" s="118"/>
      <c r="E30" s="118"/>
      <c r="F30" s="118"/>
      <c r="G30" s="118"/>
    </row>
    <row r="31" spans="2:7" ht="27" customHeight="1" x14ac:dyDescent="0.35">
      <c r="B31" s="118" t="s">
        <v>27</v>
      </c>
      <c r="C31" s="118"/>
      <c r="D31" s="118"/>
      <c r="E31" s="118"/>
      <c r="F31" s="118"/>
      <c r="G31" s="118"/>
    </row>
    <row r="32" spans="2:7" ht="27" customHeight="1" x14ac:dyDescent="0.35">
      <c r="B32" s="118" t="s">
        <v>144</v>
      </c>
      <c r="C32" s="118"/>
      <c r="D32" s="118"/>
      <c r="E32" s="118"/>
      <c r="F32" s="118"/>
      <c r="G32" s="118"/>
    </row>
    <row r="35" spans="2:7" ht="13.15" x14ac:dyDescent="0.4">
      <c r="B35" s="4" t="s">
        <v>28</v>
      </c>
      <c r="C35" s="4"/>
      <c r="D35" s="4"/>
      <c r="E35" s="4"/>
      <c r="F35" s="4"/>
      <c r="G35" s="4"/>
    </row>
    <row r="36" spans="2:7" x14ac:dyDescent="0.35">
      <c r="B36" s="15" t="s">
        <v>132</v>
      </c>
    </row>
    <row r="37" spans="2:7" x14ac:dyDescent="0.35">
      <c r="B37" s="15" t="s">
        <v>29</v>
      </c>
    </row>
    <row r="38" spans="2:7" x14ac:dyDescent="0.35">
      <c r="B38" t="s">
        <v>145</v>
      </c>
    </row>
    <row r="39" spans="2:7" x14ac:dyDescent="0.35">
      <c r="B39" s="10" t="s">
        <v>30</v>
      </c>
    </row>
  </sheetData>
  <mergeCells count="9">
    <mergeCell ref="B30:G30"/>
    <mergeCell ref="B31:G31"/>
    <mergeCell ref="B32:G32"/>
    <mergeCell ref="B17:G17"/>
    <mergeCell ref="B23:G23"/>
    <mergeCell ref="B26:G26"/>
    <mergeCell ref="B27:G27"/>
    <mergeCell ref="B28:G28"/>
    <mergeCell ref="B29:G29"/>
  </mergeCells>
  <hyperlinks>
    <hyperlink ref="B36" r:id="rId1" display="Alpha Spread: TITAN DCF base case (forecast assumptions, market data), retrieved 26-Sep-2026" xr:uid="{3558C2F1-5FE1-41B1-B70F-ACB0DFDADE73}"/>
    <hyperlink ref="B37" r:id="rId2" xr:uid="{A5BDFF46-22F3-499A-B294-118B2875235F}"/>
  </hyperlinks>
  <pageMargins left="0.7" right="0.7" top="0.75" bottom="0.75" header="0.3" footer="0.3"/>
  <pageSetup scale="86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FCFF DCF</vt:lpstr>
      <vt:lpstr>Valuation</vt:lpstr>
      <vt:lpstr>Data</vt:lpstr>
      <vt:lpstr>ConstGrowth</vt:lpstr>
      <vt:lpstr>DiscountRate</vt:lpstr>
      <vt:lpstr>ExitMultiple</vt:lpstr>
      <vt:lpstr>FcffValuePerShare</vt:lpstr>
      <vt:lpstr>GrowthMode</vt:lpstr>
      <vt:lpstr>MarginEnd</vt:lpstr>
      <vt:lpstr>MarginStart</vt:lpstr>
      <vt:lpstr>NetAdj</vt:lpstr>
      <vt:lpstr>Price</vt:lpstr>
      <vt:lpstr>PriceDate</vt:lpstr>
      <vt:lpstr>Valuation!Print_Area</vt:lpstr>
      <vt:lpstr>Shares</vt:lpstr>
      <vt:lpstr>StubFraction</vt:lpstr>
      <vt:lpstr>ValuePerShare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 Company Ltd - DCF Valuation</dc:title>
  <dc:subject>DCF valuation (via net income), base case</dc:subject>
  <dc:creator>Daksh Chaudhary</dc:creator>
  <cp:lastModifiedBy>Daksh Chaudhary</cp:lastModifiedBy>
  <dcterms:created xsi:type="dcterms:W3CDTF">2026-09-26T17:34:22Z</dcterms:created>
  <dcterms:modified xsi:type="dcterms:W3CDTF">2026-10-04T15:37:29Z</dcterms:modified>
</cp:coreProperties>
</file>